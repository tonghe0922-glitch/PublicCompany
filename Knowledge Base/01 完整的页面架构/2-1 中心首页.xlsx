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5e2339b4e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首页板块清单" sheetId="1" r:id="R5f8fa97a6f594cfb"/>
    <x:sheet xmlns:r="http://schemas.openxmlformats.org/officeDocument/2006/relationships" name="首页布局建议" sheetId="2" r:id="Rbfb8ebb158974561"/>
    <x:sheet xmlns:r="http://schemas.openxmlformats.org/officeDocument/2006/relationships" name="角色权限矩阵" sheetId="3" r:id="R31d809ef488841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3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7" xfId="0" applyNumberFormat="1" applyFont="1" applyFill="1" applyBorder="1" applyAlignment="1">
      <x:alignment horizontal="center" vertical="top" wrapText="1"/>
    </x:xf>
    <x:xf numFmtId="0" fontId="5" fillId="0" borderId="10" xfId="0" applyNumberFormat="1" applyFont="1" applyFill="1" applyBorder="1" applyAlignment="1">
      <x:alignment horizontal="center" vertical="top" wrapText="1"/>
    </x:xf>
    <x:xf numFmtId="0" fontId="5" fillId="0" borderId="13" xfId="0" applyNumberFormat="1" applyFont="1" applyFill="1" applyBorder="1" applyAlignment="1">
      <x:alignment horizontal="center" vertical="top" wrapText="1"/>
    </x:xf>
    <x:xf numFmtId="0" fontId="5" fillId="0" borderId="15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16" xfId="0" applyNumberFormat="1" applyFont="1" applyFill="1" applyBorder="1" applyAlignment="1">
      <x:alignment horizontal="center" vertical="top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/>
    </x:xf>
    <x:xf numFmtId="0" fontId="0" fillId="0" borderId="27" xfId="0" applyNumberFormat="1" applyFont="1" applyFill="1" applyBorder="1" applyAlignment="1">
      <x:alignment vertical="center"/>
    </x:xf>
    <x:xf numFmtId="0" fontId="0" fillId="0" borderId="28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 applyAlignment="1">
      <x:alignment vertical="center"/>
    </x:xf>
    <x:xf numFmtId="0" fontId="0" fillId="5" borderId="18" xfId="0" applyNumberFormat="1" applyFont="1" applyFill="1" applyBorder="1" applyAlignment="1">
      <x:alignment vertical="center"/>
    </x:xf>
    <x:xf numFmtId="0" fontId="0" fillId="5" borderId="19" xfId="0" applyNumberFormat="1" applyFont="1" applyFill="1" applyBorder="1" applyAlignment="1">
      <x:alignment vertical="center"/>
    </x:xf>
    <x:xf numFmtId="0" fontId="6" fillId="5" borderId="18" xfId="0" applyNumberFormat="1" applyFont="1" applyFill="1" applyBorder="1" applyAlignment="1">
      <x:alignment vertical="center"/>
    </x:xf>
    <x:xf numFmtId="0" fontId="6" fillId="5" borderId="19" xfId="0" applyNumberFormat="1" applyFont="1" applyFill="1" applyBorder="1" applyAlignment="1">
      <x:alignment vertical="center"/>
    </x:xf>
    <x:xf numFmtId="0" fontId="6" fillId="5" borderId="18" xfId="0" applyNumberFormat="1" applyFont="1" applyFill="1" applyBorder="1" applyAlignment="1">
      <x:alignment horizontal="center" vertical="center"/>
    </x:xf>
    <x:xf numFmtId="0" fontId="6" fillId="5" borderId="19" xfId="0" applyNumberFormat="1" applyFont="1" applyFill="1" applyBorder="1" applyAlignment="1">
      <x:alignment horizontal="center" vertical="center"/>
    </x:xf>
    <x:xf numFmtId="0" fontId="0" fillId="5" borderId="24" xfId="0" applyNumberFormat="1" applyFont="1" applyFill="1" applyBorder="1" applyAlignment="1">
      <x:alignment vertical="center"/>
    </x:xf>
    <x:xf numFmtId="0" fontId="0" fillId="5" borderId="25" xfId="0" applyNumberFormat="1" applyFont="1" applyFill="1" applyBorder="1" applyAlignment="1">
      <x:alignment vertical="center"/>
    </x:xf>
    <x:xf numFmtId="0" fontId="6" fillId="5" borderId="24" xfId="0" applyNumberFormat="1" applyFont="1" applyFill="1" applyBorder="1" applyAlignment="1">
      <x:alignment vertical="center"/>
    </x:xf>
    <x:xf numFmtId="0" fontId="6" fillId="5" borderId="25" xfId="0" applyNumberFormat="1" applyFont="1" applyFill="1" applyBorder="1" applyAlignment="1">
      <x:alignment vertical="center"/>
    </x:xf>
    <x:xf numFmtId="0" fontId="6" fillId="5" borderId="24" xfId="0" applyNumberFormat="1" applyFont="1" applyFill="1" applyBorder="1" applyAlignment="1">
      <x:alignment horizontal="center" vertical="center"/>
    </x:xf>
    <x:xf numFmtId="0" fontId="6" fillId="5" borderId="2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093be220d46ba" /><Relationship Type="http://schemas.openxmlformats.org/officeDocument/2006/relationships/theme" Target="/xl/theme/theme1.xml" Id="R6785b55eca9744a2" /><Relationship Type="http://schemas.openxmlformats.org/officeDocument/2006/relationships/sharedStrings" Target="/xl/sharedStrings.xml" Id="R401f4479aa5349cb" /><Relationship Type="http://schemas.openxmlformats.org/officeDocument/2006/relationships/worksheet" Target="/xl/worksheets/sheet1.xml" Id="R5f8fa97a6f594cfb" /><Relationship Type="http://schemas.openxmlformats.org/officeDocument/2006/relationships/worksheet" Target="/xl/worksheets/sheet2.xml" Id="Rbfb8ebb158974561" /><Relationship Type="http://schemas.openxmlformats.org/officeDocument/2006/relationships/worksheet" Target="/xl/worksheets/sheet3.xml" Id="R31d809ef488841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53c8411a0b45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首页板块位置分布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板块数量</c:v>
          </c:tx>
          <c:cat>
            <c:strRef>
              <c:f>'首页布局建议'!$A$12:$A$15</c:f>
              <c:strCache>
                <c:ptCount val="0"/>
              </c:strCache>
            </c:strRef>
          </c:cat>
          <c:val>
            <c:numRef>
              <c:f>'首页布局建议'!$B$12:$B$15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53c8411a0b457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grModuleTable" displayName="MgrModuleTable" ref="A6:N21" headerRowCount="1">
  <x:tableColumns count="14">
    <x:tableColumn id="1" name="序号"/>
    <x:tableColumn id="2" name="一级首页板块"/>
    <x:tableColumn id="3" name="板块定位"/>
    <x:tableColumn id="4" name="核心子入口"/>
    <x:tableColumn id="5" name="首页展示组件"/>
    <x:tableColumn id="6" name="关键指标/提醒"/>
    <x:tableColumn id="7" name="主要快捷操作"/>
    <x:tableColumn id="8" name="对应业务流程"/>
    <x:tableColumn id="9" name="默认数据范围"/>
    <x:tableColumn id="10" name="优先级"/>
    <x:tableColumn id="11" name="推荐位置"/>
    <x:tableColumn id="12" name="刷新频率"/>
    <x:tableColumn id="13" name="权限与安全边界"/>
    <x:tableColumn id="14" name="来源依据"/>
  </x:tableColumns>
  <x:tableStyleInfo name="TableStyleMedium2" showRowStripes="1"/>
</x:table>
</file>

<file path=xl/tables/table2.xml><?xml version="1.0" encoding="utf-8"?>
<x:table xmlns:x="http://schemas.openxmlformats.org/spreadsheetml/2006/main" id="2" name="MgrLayoutTable" displayName="MgrLayoutTable" ref="A3:G8" headerRowCount="1">
  <x:tableColumns count="7">
    <x:tableColumn id="1" name="首页区域"/>
    <x:tableColumn id="2" name="设计目的"/>
    <x:tableColumn id="3" name="推荐展示板块"/>
    <x:tableColumn id="4" name="组件形式"/>
    <x:tableColumn id="5" name="展示规则"/>
    <x:tableColumn id="6" name="交互原则"/>
    <x:tableColumn id="7" name="移动端策略"/>
  </x:tableColumns>
  <x:tableStyleInfo name="TableStyleMedium2" showRowStripes="1"/>
</x:table>
</file>

<file path=xl/tables/table3.xml><?xml version="1.0" encoding="utf-8"?>
<x:table xmlns:x="http://schemas.openxmlformats.org/spreadsheetml/2006/main" id="3" name="MgrRoleTable" displayName="MgrRoleTable" ref="A3:G10" headerRowCount="1">
  <x:tableColumns count="7">
    <x:tableColumn id="1" name="典型角色"/>
    <x:tableColumn id="2" name="默认首页形态"/>
    <x:tableColumn id="3" name="重点首页板块"/>
    <x:tableColumn id="4" name="默认数据范围"/>
    <x:tableColumn id="5" name="主要可操作动作"/>
    <x:tableColumn id="6" name="禁止/限制"/>
    <x:tableColumn id="7" name="身份切换与特殊控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090740d7b441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1e92ad45d8b4360" /><Relationship Type="http://schemas.openxmlformats.org/officeDocument/2006/relationships/table" Target="/xl/tables/table2.xml" Id="R4c67d4af3c5a4a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6e3560d7314bb8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34" hidden="0" customWidth="1"/>
    <x:col min="4" max="4" width="34" hidden="0" customWidth="1"/>
    <x:col min="5" max="5" width="28" hidden="0" customWidth="1"/>
    <x:col min="6" max="6" width="30" hidden="0" customWidth="1"/>
    <x:col min="7" max="7" width="30" hidden="0" customWidth="1"/>
    <x:col min="8" max="8" width="28" hidden="0" customWidth="1"/>
    <x:col min="9" max="9" width="24" hidden="0" customWidth="1"/>
    <x:col min="10" max="10" width="9" hidden="0" customWidth="1"/>
    <x:col min="11" max="11" width="12" hidden="0" customWidth="1"/>
    <x:col min="12" max="12" width="13" hidden="0" customWidth="1"/>
    <x:col min="13" max="13" width="38" hidden="0" customWidth="1"/>
    <x:col min="14" max="14" width="28" hidden="0" customWidth="1"/>
  </x:cols>
  <x:sheetData>
    <x:row r="1" ht="30" customHeight="1">
      <x:c r="A1" s="5" t="str">
        <x:v>上金谷运营系统·中心管理端首页板块规划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2" customHeight="1">
      <x:c r="A2" s="13" t="str">
        <x:v>设计目标：让管理者第一眼判断“中心运行是否正常、哪里需要决策、哪些事项尚未闭环”；共15个一级首页板块。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24" customHeight="1">
      <x:c r="A4" s="20" t="str">
        <x:v>板块总数</x:v>
      </x:c>
      <x:c r="B4" s="20" t="n">
        <x:f>COUNTA(B7:B21)</x:f>
        <x:v>15</x:v>
      </x:c>
      <x:c r="C4" s="20"/>
      <x:c r="D4" s="20" t="str">
        <x:v>P0板块</x:v>
      </x:c>
      <x:c r="E4" s="20" t="n">
        <x:f>COUNTIF(J7:J21,"P0")</x:f>
        <x:v>9</x:v>
      </x:c>
      <x:c r="F4" s="20"/>
      <x:c r="G4" s="20" t="str">
        <x:v>首屏板块</x:v>
      </x:c>
      <x:c r="H4" s="20" t="n">
        <x:f>COUNTIF(K7:K21,"首屏")</x:f>
        <x:v>7</x:v>
      </x:c>
      <x:c r="I4" s="20"/>
      <x:c r="J4" s="20" t="str">
        <x:v>来源基线</x:v>
      </x:c>
      <x:c r="K4" s="20" t="str">
        <x:v>《上金谷运营系统PRD》V3.0 + 三层流程闭环说明书V1.0</x:v>
      </x:c>
      <x:c r="L4" s="20"/>
      <x:c r="M4" s="20"/>
      <x:c r="N4" s="20"/>
    </x:row>
    <x:row r="6" ht="30" customHeight="1">
      <x:c r="A6" s="28" t="str">
        <x:v>序号</x:v>
      </x:c>
      <x:c r="B6" s="28" t="str">
        <x:v>一级首页板块</x:v>
      </x:c>
      <x:c r="C6" s="28" t="str">
        <x:v>板块定位</x:v>
      </x:c>
      <x:c r="D6" s="28" t="str">
        <x:v>核心子入口</x:v>
      </x:c>
      <x:c r="E6" s="28" t="str">
        <x:v>首页展示组件</x:v>
      </x:c>
      <x:c r="F6" s="28" t="str">
        <x:v>关键指标/提醒</x:v>
      </x:c>
      <x:c r="G6" s="28" t="str">
        <x:v>主要快捷操作</x:v>
      </x:c>
      <x:c r="H6" s="28" t="str">
        <x:v>对应业务流程</x:v>
      </x:c>
      <x:c r="I6" s="28" t="str">
        <x:v>默认数据范围</x:v>
      </x:c>
      <x:c r="J6" s="28" t="str">
        <x:v>优先级</x:v>
      </x:c>
      <x:c r="K6" s="28" t="str">
        <x:v>推荐位置</x:v>
      </x:c>
      <x:c r="L6" s="28" t="str">
        <x:v>刷新频率</x:v>
      </x:c>
      <x:c r="M6" s="28" t="str">
        <x:v>权限与安全边界</x:v>
      </x:c>
      <x:c r="N6" s="28" t="str">
        <x:v>来源依据</x:v>
      </x:c>
    </x:row>
    <x:row r="7" ht="24" hidden="0" customHeight="1">
      <x:c r="A7" s="88" t="n">
        <x:v>1</x:v>
      </x:c>
      <x:c r="B7" s="53" t="str">
        <x:v>中心经营驾驶舱</x:v>
      </x:c>
      <x:c r="C7" s="53" t="str">
        <x:v>首屏回答“本中心今天运行是否正常”，汇总人、事、钱、物、风险和专业业务结果。</x:v>
      </x:c>
      <x:c r="D7" s="53" t="str">
        <x:v>经营/专业结果；服务量；成本；收入/毛利；SLA；资源利用；风险总览</x:v>
      </x:c>
      <x:c r="E7" s="53" t="str">
        <x:v>KPI卡、趋势图、目标达成、红黄绿灯、下钻入口</x:v>
      </x:c>
      <x:c r="F7" s="53" t="str">
        <x:v>核心指标达成率、异常数、逾期率、部分失败、预算执行率</x:v>
      </x:c>
      <x:c r="G7" s="53" t="str">
        <x:v>下钻来源单据、调整关注指标、发起专项督办</x:v>
      </x:c>
      <x:c r="H7" s="53" t="str">
        <x:v>各中心专业业务；统一指标；经营分析</x:v>
      </x:c>
      <x:c r="I7" s="53" t="str">
        <x:v>CENTER；按授权项目/资源</x:v>
      </x:c>
      <x:c r="J7" s="94" t="str">
        <x:v>P0</x:v>
      </x:c>
      <x:c r="K7" s="94" t="str">
        <x:v>首屏</x:v>
      </x:c>
      <x:c r="L7" s="53" t="str">
        <x:v>1-5分钟/日结</x:v>
      </x:c>
      <x:c r="M7" s="53" t="str">
        <x:v>指标必须可下钻到来源单据和规则版本；不得展示无解释总分。</x:v>
      </x:c>
      <x:c r="N7" s="54" t="str">
        <x:v>专属驾驶舱、指标下钻、中心负责人责任</x:v>
      </x:c>
    </x:row>
    <x:row r="8" ht="24" hidden="0" customHeight="1">
      <x:c r="A8" s="89" t="n">
        <x:v>2</x:v>
      </x:c>
      <x:c r="B8" s="56" t="str">
        <x:v>待审批、待决策与待验收</x:v>
      </x:c>
      <x:c r="C8" s="56" t="str">
        <x:v>集中处理管理动作，明确审批、执行和验收三类责任，避免审批通过即显示完成。</x:v>
      </x:c>
      <x:c r="D8" s="56" t="str">
        <x:v>待审批；待会签；待决策；待验收；待复核；退回重审；代理事项</x:v>
      </x:c>
      <x:c r="E8" s="56" t="str">
        <x:v>分类待办、时限排序、批量处理、风险标签</x:v>
      </x:c>
      <x:c r="F8" s="56" t="str">
        <x:v>待办总数、超时、即将超时、退回率、验收一次通过率</x:v>
      </x:c>
      <x:c r="G8" s="56" t="str">
        <x:v>批准、退回、驳回、加签、转交、验收、退回返工</x:v>
      </x:c>
      <x:c r="H8" s="56" t="str">
        <x:v>所有审批流；业务验收；利益冲突回避</x:v>
      </x:c>
      <x:c r="I8" s="56" t="str">
        <x:v>DEPARTMENT/CENTER/PROJECT</x:v>
      </x:c>
      <x:c r="J8" s="95" t="str">
        <x:v>P0</x:v>
      </x:c>
      <x:c r="K8" s="95" t="str">
        <x:v>首屏</x:v>
      </x:c>
      <x:c r="L8" s="56" t="str">
        <x:v>实时/30秒</x:v>
      </x:c>
      <x:c r="M8" s="56" t="str">
        <x:v>申请人不得审批本人事项；技术管理员不得代替业务审批。</x:v>
      </x:c>
      <x:c r="N8" s="57" t="str">
        <x:v>工作流、审批路由、独立验收</x:v>
      </x:c>
    </x:row>
    <x:row r="9" ht="24" hidden="0" customHeight="1">
      <x:c r="A9" s="89" t="n">
        <x:v>3</x:v>
      </x:c>
      <x:c r="B9" s="56" t="str">
        <x:v>组织、人员与编制</x:v>
      </x:c>
      <x:c r="C9" s="56" t="str">
        <x:v>展示中心组织结构、主岗/兼岗、编制占用、空编超编和关键岗位覆盖。</x:v>
      </x:c>
      <x:c r="D9" s="56" t="str">
        <x:v>组织树；在岗人员；主岗兼岗；编制；招聘；试用；合同；异动；离职</x:v>
      </x:c>
      <x:c r="E9" s="56" t="str">
        <x:v>组织树、人数卡、编制漏斗、人员预警、岗位空缺</x:v>
      </x:c>
      <x:c r="F9" s="56" t="str">
        <x:v>实际人数、可用编制、超编、招聘周期、试用到期、合同到期</x:v>
      </x:c>
      <x:c r="G9" s="56" t="str">
        <x:v>发起用人、调岗、兼岗、转正、离职、代理负责人</x:v>
      </x:c>
      <x:c r="H9" s="56" t="str">
        <x:v>组织变更；编制招聘；入职转正；调岗兼岗；离职</x:v>
      </x:c>
      <x:c r="I9" s="56" t="str">
        <x:v>CENTER；敏感字段按人力授权</x:v>
      </x:c>
      <x:c r="J9" s="95" t="str">
        <x:v>P0</x:v>
      </x:c>
      <x:c r="K9" s="95" t="str">
        <x:v>首屏</x:v>
      </x:c>
      <x:c r="L9" s="56" t="str">
        <x:v>事件驱动/每日</x:v>
      </x:c>
      <x:c r="M9" s="56" t="str">
        <x:v>中心不得直接修改HR权威主档、合同、等级或固定薪资。</x:v>
      </x:c>
      <x:c r="N9" s="57" t="str">
        <x:v>组织人员、编制、人事生命周期、权威数据源</x:v>
      </x:c>
    </x:row>
    <x:row r="10" ht="24" hidden="0" customHeight="1">
      <x:c r="A10" s="89" t="n">
        <x:v>4</x:v>
      </x:c>
      <x:c r="B10" s="56" t="str">
        <x:v>排班、考勤与人力负荷</x:v>
      </x:c>
      <x:c r="C10" s="56" t="str">
        <x:v>监控班次覆盖、出勤异常、加班负荷、资格约束和活动支援。</x:v>
      </x:c>
      <x:c r="D10" s="56" t="str">
        <x:v>排班发布；缺口；出勤；请假；加班；调休；跨中心支援；资格覆盖</x:v>
      </x:c>
      <x:c r="E10" s="56" t="str">
        <x:v>班次热力图、缺口列表、工时趋势、异常分布</x:v>
      </x:c>
      <x:c r="F10" s="56" t="str">
        <x:v>缺岗、连续工时风险、加班成本、请假覆盖率、异常待处理</x:v>
      </x:c>
      <x:c r="G10" s="56" t="str">
        <x:v>发布/调整排班、审批换班、安排替岗、发起支援</x:v>
      </x:c>
      <x:c r="H10" s="56" t="str">
        <x:v>排班；考勤；请假；加班；跨中心支援</x:v>
      </x:c>
      <x:c r="I10" s="56" t="str">
        <x:v>DEPARTMENT/CENTER</x:v>
      </x:c>
      <x:c r="J10" s="95" t="str">
        <x:v>P0</x:v>
      </x:c>
      <x:c r="K10" s="95" t="str">
        <x:v>首屏</x:v>
      </x:c>
      <x:c r="L10" s="56" t="str">
        <x:v>实时/日结</x:v>
      </x:c>
      <x:c r="M10" s="56" t="str">
        <x:v>考勤设备异常不得直接认定员工责任；高风险岗位必须校验证照。</x:v>
      </x:c>
      <x:c r="N10" s="57" t="str">
        <x:v>工时考勤、人员支援、资格约束</x:v>
      </x:c>
    </x:row>
    <x:row r="11" ht="24" hidden="0" customHeight="1">
      <x:c r="A11" s="89" t="n">
        <x:v>5</x:v>
      </x:c>
      <x:c r="B11" s="56" t="str">
        <x:v>工作计划、任务与督办</x:v>
      </x:c>
      <x:c r="C11" s="56" t="str">
        <x:v>统一管理会议决定、中心计划、行动项、项目任务和整改任务。</x:v>
      </x:c>
      <x:c r="D11" s="56" t="str">
        <x:v>年度/月周计划；会议行动项；项目任务；督办；延期；阻塞；验收</x:v>
      </x:c>
      <x:c r="E11" s="56" t="str">
        <x:v>任务看板、里程碑、逾期排行、责任矩阵</x:v>
      </x:c>
      <x:c r="F11" s="56" t="str">
        <x:v>按期完成率、逾期数、阻塞数、返工率、一次验收通过率</x:v>
      </x:c>
      <x:c r="G11" s="56" t="str">
        <x:v>分派、催办、升级、调整责任人、验收、发起复盘</x:v>
      </x:c>
      <x:c r="H11" s="56" t="str">
        <x:v>会议行动项；经营指令；中心任务；整改闭环</x:v>
      </x:c>
      <x:c r="I11" s="56" t="str">
        <x:v>CENTER/PROJECT</x:v>
      </x:c>
      <x:c r="J11" s="95" t="str">
        <x:v>P0</x:v>
      </x:c>
      <x:c r="K11" s="95" t="str">
        <x:v>首屏</x:v>
      </x:c>
      <x:c r="L11" s="56" t="str">
        <x:v>实时/1分钟</x:v>
      </x:c>
      <x:c r="M11" s="56" t="str">
        <x:v>办公室/总裁办可督办但不得替代责任中心执行专业任务。</x:v>
      </x:c>
      <x:c r="N11" s="57" t="str">
        <x:v>任务状态机、会议行动、经营督办</x:v>
      </x:c>
    </x:row>
    <x:row r="12" ht="24" hidden="0" customHeight="1">
      <x:c r="A12" s="89" t="n">
        <x:v>6</x:v>
      </x:c>
      <x:c r="B12" s="56" t="str">
        <x:v>中心专业业务运行</x:v>
      </x:c>
      <x:c r="C12" s="56" t="str">
        <x:v>加载本中心专属业务主单、资源、交付质量和关键异常。</x:v>
      </x:c>
      <x:c r="D12" s="56" t="str">
        <x:v>按中心动态：财务/人力/采购/票务/行政/物业/演艺/网络/企划/新媒体/运营/市场</x:v>
      </x:c>
      <x:c r="E12" s="56" t="str">
        <x:v>专业业务看板、主单列表、资源状态、交付进度</x:v>
      </x:c>
      <x:c r="F12" s="56" t="str">
        <x:v>业务量、完成率、待验收、部分失败、质量指标、专业SLA</x:v>
      </x:c>
      <x:c r="G12" s="56" t="str">
        <x:v>立项、审批、调度、专业复核、验收、异常升级</x:v>
      </x:c>
      <x:c r="H12" s="56" t="str">
        <x:v>本中心全部专业流程</x:v>
      </x:c>
      <x:c r="I12" s="56" t="str">
        <x:v>CENTER/RESOURCE_SCOPE</x:v>
      </x:c>
      <x:c r="J12" s="95" t="str">
        <x:v>P0</x:v>
      </x:c>
      <x:c r="K12" s="95" t="str">
        <x:v>首屏</x:v>
      </x:c>
      <x:c r="L12" s="56" t="str">
        <x:v>实时/按模块</x:v>
      </x:c>
      <x:c r="M12" s="56" t="str">
        <x:v>本模块只管理本中心专业事实，不直接修改其他中心权威数据。</x:v>
      </x:c>
      <x:c r="N12" s="57" t="str">
        <x:v>29个深度开发模块、独立限界上下文</x:v>
      </x:c>
    </x:row>
    <x:row r="13" ht="24" hidden="0" customHeight="1">
      <x:c r="A13" s="89" t="n">
        <x:v>7</x:v>
      </x:c>
      <x:c r="B13" s="56" t="str">
        <x:v>跨中心协同与主子单</x:v>
      </x:c>
      <x:c r="C13" s="56" t="str">
        <x:v>展示本中心作为主责方或协同方参与的跨中心业务，跟踪每个专业子单状态。</x:v>
      </x:c>
      <x:c r="D13" s="56" t="str">
        <x:v>接待；大型活动；采购资产；教育项目；内容发布；工程协同；通用协同</x:v>
      </x:c>
      <x:c r="E13" s="56" t="str">
        <x:v>主子单拓扑、协同进度、依赖关系、失败步骤</x:v>
      </x:c>
      <x:c r="F13" s="56" t="str">
        <x:v>协同中、待接收、逾期、部分失败、待补偿</x:v>
      </x:c>
      <x:c r="G13" s="56" t="str">
        <x:v>接收协同、分派子单、反馈结果、升级冲突、确认回写</x:v>
      </x:c>
      <x:c r="H13" s="56" t="str">
        <x:v>跨中心黄金路径；暂缓单位通用协同</x:v>
      </x:c>
      <x:c r="I13" s="56" t="str">
        <x:v>CENTER/PROJECT</x:v>
      </x:c>
      <x:c r="J13" s="95" t="str">
        <x:v>P0</x:v>
      </x:c>
      <x:c r="K13" s="95" t="str">
        <x:v>第二屏</x:v>
      </x:c>
      <x:c r="L13" s="56" t="str">
        <x:v>实时/1分钟</x:v>
      </x:c>
      <x:c r="M13" s="56" t="str">
        <x:v>跨模块只通过公开API/事件；不得直接写对方业务表。</x:v>
      </x:c>
      <x:c r="N13" s="57" t="str">
        <x:v>主单统筹、专业子单、事件回写、失败补偿</x:v>
      </x:c>
    </x:row>
    <x:row r="14" ht="24" hidden="0" customHeight="1">
      <x:c r="A14" s="89" t="n">
        <x:v>8</x:v>
      </x:c>
      <x:c r="B14" s="56" t="str">
        <x:v>预算、费用与成本</x:v>
      </x:c>
      <x:c r="C14" s="56" t="str">
        <x:v>管理中心预算占用、费用申请、成本异常和财务对账状态。</x:v>
      </x:c>
      <x:c r="D14" s="56" t="str">
        <x:v>预算；费用申请；报销；借款；采购占用；项目成本；回款；毛利；对账差异</x:v>
      </x:c>
      <x:c r="E14" s="56" t="str">
        <x:v>预算执行图、费用趋势、差异清单、待核销金额</x:v>
      </x:c>
      <x:c r="F14" s="56" t="str">
        <x:v>预算执行率、超预算、未核销、付款失败、对账差异</x:v>
      </x:c>
      <x:c r="G14" s="56" t="str">
        <x:v>审批费用、调整预算、查看成本来源、处理差异</x:v>
      </x:c>
      <x:c r="H14" s="56" t="str">
        <x:v>预算；报销；借款；付款；对账；贡献毛利</x:v>
      </x:c>
      <x:c r="I14" s="56" t="str">
        <x:v>CENTER；金额/字段按财务授权</x:v>
      </x:c>
      <x:c r="J14" s="95" t="str">
        <x:v>P1</x:v>
      </x:c>
      <x:c r="K14" s="95" t="str">
        <x:v>第二屏</x:v>
      </x:c>
      <x:c r="L14" s="56" t="str">
        <x:v>权威回执/日结</x:v>
      </x:c>
      <x:c r="M14" s="56" t="str">
        <x:v>付款、回款和成本以财务权威回执为准；不得覆盖已付款事实。</x:v>
      </x:c>
      <x:c r="N14" s="57" t="str">
        <x:v>财务权威数据、预算费用、对账</x:v>
      </x:c>
    </x:row>
    <x:row r="15" ht="24" hidden="0" customHeight="1">
      <x:c r="A15" s="89" t="n">
        <x:v>9</x:v>
      </x:c>
      <x:c r="B15" s="56" t="str">
        <x:v>资源、资产与保障</x:v>
      </x:c>
      <x:c r="C15" s="56" t="str">
        <x:v>展示中心使用的物资、资产、车辆、场地、宿舍、门禁和维修保障。</x:v>
      </x:c>
      <x:c r="D15" s="56" t="str">
        <x:v>库存；资产；借用；车辆；场地；宿舍；门禁；报修；维保；资源预警</x:v>
      </x:c>
      <x:c r="E15" s="56" t="str">
        <x:v>资源占用图、资产清单、库存预警、维修进度</x:v>
      </x:c>
      <x:c r="F15" s="56" t="str">
        <x:v>低库存、借用逾期、资产不一致、车辆冲突、报修超时</x:v>
      </x:c>
      <x:c r="G15" s="56" t="str">
        <x:v>申请/审批领用、调拨、派车、报修、盘点、处置</x:v>
      </x:c>
      <x:c r="H15" s="56" t="str">
        <x:v>资产仓储；车辆；宿舍；办公室；报修</x:v>
      </x:c>
      <x:c r="I15" s="56" t="str">
        <x:v>CENTER/RESOURCE_SCOPE</x:v>
      </x:c>
      <x:c r="J15" s="95" t="str">
        <x:v>P1</x:v>
      </x:c>
      <x:c r="K15" s="95" t="str">
        <x:v>第二屏</x:v>
      </x:c>
      <x:c r="L15" s="56" t="str">
        <x:v>事件驱动/5分钟</x:v>
      </x:c>
      <x:c r="M15" s="56" t="str">
        <x:v>库存和资产变动必须通过不可变流水；关键资源禁止超卖。</x:v>
      </x:c>
      <x:c r="N15" s="57" t="str">
        <x:v>资产仓储、后勤资源、并发约束</x:v>
      </x:c>
    </x:row>
    <x:row r="16" ht="24" hidden="0" customHeight="1">
      <x:c r="A16" s="89" t="n">
        <x:v>10</x:v>
      </x:c>
      <x:c r="B16" s="56" t="str">
        <x:v>绩效、人才与成长</x:v>
      </x:c>
      <x:c r="C16" s="56" t="str">
        <x:v>监控目标下达、评价进度、绩效分布、人才发展、学习资格和关键岗位备岗。</x:v>
      </x:c>
      <x:c r="D16" s="56" t="str">
        <x:v>绩效周期；目标；评价；校准；PIP；晋升；人才盘点；学习；资格；积分</x:v>
      </x:c>
      <x:c r="E16" s="56" t="str">
        <x:v>绩效分布、人才九宫格/名单、学习完成率、资格预警</x:v>
      </x:c>
      <x:c r="F16" s="56" t="str">
        <x:v>评价完成率、校准差异、未评级、关键岗位AB角、资格缺口</x:v>
      </x:c>
      <x:c r="G16" s="56" t="str">
        <x:v>下达目标、评价、校准、发起PIP、提名晋升、指派学习</x:v>
      </x:c>
      <x:c r="H16" s="56" t="str">
        <x:v>绩效；晋升；PIP；学习资格；成长荣誉积分</x:v>
      </x:c>
      <x:c r="I16" s="56" t="str">
        <x:v>CENTER；敏感人事字段按授权</x:v>
      </x:c>
      <x:c r="J16" s="95" t="str">
        <x:v>P1</x:v>
      </x:c>
      <x:c r="K16" s="95" t="str">
        <x:v>第二屏</x:v>
      </x:c>
      <x:c r="L16" s="56" t="str">
        <x:v>周期/事件驱动</x:v>
      </x:c>
      <x:c r="M16" s="56" t="str">
        <x:v>1000分制模型相互隔离；系统建议不得自动替代人事决定。</x:v>
      </x:c>
      <x:c r="N16" s="57" t="str">
        <x:v>绩效、晋升、学习、积分、人才发展</x:v>
      </x:c>
    </x:row>
    <x:row r="17" ht="24" hidden="0" customHeight="1">
      <x:c r="A17" s="89" t="n">
        <x:v>11</x:v>
      </x:c>
      <x:c r="B17" s="56" t="str">
        <x:v>客户、服务与质量</x:v>
      </x:c>
      <x:c r="C17" s="56" t="str">
        <x:v>聚合与中心相关的客户服务、交付质量、满意度、回访和投诉。</x:v>
      </x:c>
      <x:c r="D17" s="56" t="str">
        <x:v>客户/团队；接待；交付；满意度；回访；投诉；退款；复购；服务整改</x:v>
      </x:c>
      <x:c r="E17" s="56" t="str">
        <x:v>满意度趋势、投诉漏斗、服务SLA、回访列表</x:v>
      </x:c>
      <x:c r="F17" s="56" t="str">
        <x:v>首次响应、闭环时长、投诉复发、满意度、未回访</x:v>
      </x:c>
      <x:c r="G17" s="56" t="str">
        <x:v>指定责任人、服务补救、回访、发起整改、复盘</x:v>
      </x:c>
      <x:c r="H17" s="56" t="str">
        <x:v>接待；客诉；统一案件；服务质量整改</x:v>
      </x:c>
      <x:c r="I17" s="56" t="str">
        <x:v>CENTER/PROJECT；客户敏感字段最小必要</x:v>
      </x:c>
      <x:c r="J17" s="95" t="str">
        <x:v>P1</x:v>
      </x:c>
      <x:c r="K17" s="95" t="str">
        <x:v>第二屏</x:v>
      </x:c>
      <x:c r="L17" s="56" t="str">
        <x:v>实时/日结</x:v>
      </x:c>
      <x:c r="M17" s="56" t="str">
        <x:v>普通投诉关闭不得替代事故、食品、资金或数据高风险调查。</x:v>
      </x:c>
      <x:c r="N17" s="57" t="str">
        <x:v>接待、投诉、服务质量、统一案件</x:v>
      </x:c>
    </x:row>
    <x:row r="18" ht="24" hidden="0" customHeight="1">
      <x:c r="A18" s="89" t="n">
        <x:v>12</x:v>
      </x:c>
      <x:c r="B18" s="56" t="str">
        <x:v>风险、安全与统一案件</x:v>
      </x:c>
      <x:c r="C18" s="56" t="str">
        <x:v>集中展示安全、食品、车辆、资金、数据、纪律和管理责任风险。</x:v>
      </x:c>
      <x:c r="D18" s="56" t="str">
        <x:v>风险地图；案件；临时止险；调查；整改；申诉；观察计划；复发问题</x:v>
      </x:c>
      <x:c r="E18" s="56" t="str">
        <x:v>风险等级卡、案件漏斗、整改看板、时限预警</x:v>
      </x:c>
      <x:c r="F18" s="56" t="str">
        <x:v>RISK-L3/L4、未止险、逾期整改、申诉中、重复问题</x:v>
      </x:c>
      <x:c r="G18" s="56" t="str">
        <x:v>止险、升级、指定调查、审批决定、验证整改</x:v>
      </x:c>
      <x:c r="H18" s="56" t="str">
        <x:v>统一案件；奖励纪律；事故；食品安全；整改观察</x:v>
      </x:c>
      <x:c r="I18" s="56" t="str">
        <x:v>CENTER/CASE；敏感证据按次授权</x:v>
      </x:c>
      <x:c r="J18" s="95" t="str">
        <x:v>P0</x:v>
      </x:c>
      <x:c r="K18" s="95" t="str">
        <x:v>首屏</x:v>
      </x:c>
      <x:c r="L18" s="56" t="str">
        <x:v>实时</x:v>
      </x:c>
      <x:c r="M18" s="56" t="str">
        <x:v>风险等级不等于纪律等级；被调查人不得独立认定责任。</x:v>
      </x:c>
      <x:c r="N18" s="57" t="str">
        <x:v>风险分级、统一案件、止险和整改</x:v>
      </x:c>
    </x:row>
    <x:row r="19" ht="24" hidden="0" customHeight="1">
      <x:c r="A19" s="89" t="n">
        <x:v>13</x:v>
      </x:c>
      <x:c r="B19" s="56" t="str">
        <x:v>制度、流程与规则</x:v>
      </x:c>
      <x:c r="C19" s="56" t="str">
        <x:v>管理本中心适用制度、SOP、流程版本、参数和培训落实情况。</x:v>
      </x:c>
      <x:c r="D19" s="56" t="str">
        <x:v>制度；SOP；流程；表单；规则；参数；培训；阅签；复审</x:v>
      </x:c>
      <x:c r="E19" s="56" t="str">
        <x:v>制度版本、流程地图、到期复审、执行率</x:v>
      </x:c>
      <x:c r="F19" s="56" t="str">
        <x:v>待复审、未阅签、规则冲突、流程超时、培训缺口</x:v>
      </x:c>
      <x:c r="G19" s="56" t="str">
        <x:v>发起修订、影响分析、提交审批、发布培训</x:v>
      </x:c>
      <x:c r="H19" s="56" t="str">
        <x:v>制度生命周期；流程版本；规则参数变更</x:v>
      </x:c>
      <x:c r="I19" s="56" t="str">
        <x:v>CENTER；发布权限分级</x:v>
      </x:c>
      <x:c r="J19" s="95" t="str">
        <x:v>P1</x:v>
      </x:c>
      <x:c r="K19" s="95" t="str">
        <x:v>底部/抽屉</x:v>
      </x:c>
      <x:c r="L19" s="56" t="str">
        <x:v>事件驱动/每日</x:v>
      </x:c>
      <x:c r="M19" s="56" t="str">
        <x:v>组织、审批人、阈值和规则不得硬编码；新版本默认只影响新实例。</x:v>
      </x:c>
      <x:c r="N19" s="57" t="str">
        <x:v>制度、公文、流程中心、规则中心</x:v>
      </x:c>
    </x:row>
    <x:row r="20" ht="24" hidden="0" customHeight="1">
      <x:c r="A20" s="89" t="n">
        <x:v>14</x:v>
      </x:c>
      <x:c r="B20" s="56" t="str">
        <x:v>数据分析与报表</x:v>
      </x:c>
      <x:c r="C20" s="56" t="str">
        <x:v>提供中心指标、趋势、对比、异常分析和可追溯报表。</x:v>
      </x:c>
      <x:c r="D20" s="56" t="str">
        <x:v>经营报表；人效；预算成本；服务质量；资源利用；绩效；风险；导出</x:v>
      </x:c>
      <x:c r="E20" s="56" t="str">
        <x:v>指标库、趋势图、对比表、明细下钻、订阅报表</x:v>
      </x:c>
      <x:c r="F20" s="56" t="str">
        <x:v>按中心配置，所有指标均带公式、来源、口径和负责人</x:v>
      </x:c>
      <x:c r="G20" s="56" t="str">
        <x:v>筛选、下钻、订阅、导出、发起数据问题工单</x:v>
      </x:c>
      <x:c r="H20" s="56" t="str">
        <x:v>统一指标；报表；数据质量</x:v>
      </x:c>
      <x:c r="I20" s="56" t="str">
        <x:v>CENTER；导出字段权限</x:v>
      </x:c>
      <x:c r="J20" s="95" t="str">
        <x:v>P1</x:v>
      </x:c>
      <x:c r="K20" s="95" t="str">
        <x:v>底部/抽屉</x:v>
      </x:c>
      <x:c r="L20" s="56" t="str">
        <x:v>实时/小时/日结</x:v>
      </x:c>
      <x:c r="M20" s="56" t="str">
        <x:v>导出需校验数据范围、字段权限、水印和用途。</x:v>
      </x:c>
      <x:c r="N20" s="57" t="str">
        <x:v>统一指标、搜索报表、导出治理</x:v>
      </x:c>
    </x:row>
    <x:row r="21" ht="24" hidden="0" customHeight="1">
      <x:c r="A21" s="90" t="n">
        <x:v>15</x:v>
      </x:c>
      <x:c r="B21" s="59" t="str">
        <x:v>异常预警与经营简报</x:v>
      </x:c>
      <x:c r="C21" s="59" t="str">
        <x:v>把跨模块异常、超时、资源冲突、接口失败和重大变化集中呈现。</x:v>
      </x:c>
      <x:c r="D21" s="59" t="str">
        <x:v>SLA超时；部分失败；资源冲突；数据差异；接口失败；重大事项；每日简报</x:v>
      </x:c>
      <x:c r="E21" s="59" t="str">
        <x:v>红色预警条、异常清单、每日简报、升级记录</x:v>
      </x:c>
      <x:c r="F21" s="59" t="str">
        <x:v>阻断异常、待人工接管、未解决超时、重复异常</x:v>
      </x:c>
      <x:c r="G21" s="59" t="str">
        <x:v>认领、升级、转案件、创建专项、关闭预警</x:v>
      </x:c>
      <x:c r="H21" s="59" t="str">
        <x:v>SLA升级；部分失败补偿；数据质量；经营督办</x:v>
      </x:c>
      <x:c r="I21" s="59" t="str">
        <x:v>CENTER</x:v>
      </x:c>
      <x:c r="J21" s="96" t="str">
        <x:v>P0</x:v>
      </x:c>
      <x:c r="K21" s="96" t="str">
        <x:v>顶部</x:v>
      </x:c>
      <x:c r="L21" s="59" t="str">
        <x:v>实时</x:v>
      </x:c>
      <x:c r="M21" s="59" t="str">
        <x:v>预警已读不能关闭业务问题；关闭必须有处理结果和证据。</x:v>
      </x:c>
      <x:c r="N21" s="60" t="str">
        <x:v>SLA、预警、部分失败、经营简报</x:v>
      </x:c>
    </x:row>
  </x:sheetData>
  <x:mergeCells>
    <x:mergeCell ref="A1:N1"/>
    <x:mergeCell ref="A2:N2"/>
    <x:mergeCell ref="K4:N4"/>
  </x:mergeCells>
  <x:conditionalFormatting sqref="J7:J21">
    <x:cfRule type="expression" dxfId="0" priority="1">
      <x:formula>J7="P0"</x:formula>
    </x:cfRule>
    <x:cfRule type="expression" dxfId="1" priority="2">
      <x:formula>J7="P1"</x:formula>
    </x:cfRule>
  </x:conditionalFormatting>
  <x:conditionalFormatting sqref="K7:K21">
    <x:cfRule type="expression" dxfId="2" priority="3">
      <x:formula>K7="首屏"</x:formula>
    </x:cfRule>
    <x:cfRule type="expression" dxfId="3" priority="4">
      <x:formula>K7="顶部"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090740d7b441a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32" hidden="0" customWidth="1"/>
    <x:col min="4" max="4" width="28" hidden="0" customWidth="1"/>
    <x:col min="5" max="5" width="30" hidden="0" customWidth="1"/>
    <x:col min="6" max="6" width="34" hidden="0" customWidth="1"/>
    <x:col min="7" max="7" width="30" hidden="0" customWidth="1"/>
  </x:cols>
  <x:sheetData>
    <x:row r="1" ht="30" customHeight="1">
      <x:c r="A1" s="5" t="str">
        <x:v>上金谷运营系统·中心管理端首页板块规划——首页布局建议</x:v>
      </x:c>
      <x:c r="B1" s="5"/>
      <x:c r="C1" s="5"/>
      <x:c r="D1" s="5"/>
      <x:c r="E1" s="5"/>
      <x:c r="F1" s="5"/>
      <x:c r="G1" s="5"/>
    </x:row>
    <x:row r="3">
      <x:c r="A3" s="103" t="str">
        <x:v>首页区域</x:v>
      </x:c>
      <x:c r="B3" s="103" t="str">
        <x:v>设计目的</x:v>
      </x:c>
      <x:c r="C3" s="103" t="str">
        <x:v>推荐展示板块</x:v>
      </x:c>
      <x:c r="D3" s="103" t="str">
        <x:v>组件形式</x:v>
      </x:c>
      <x:c r="E3" s="103" t="str">
        <x:v>展示规则</x:v>
      </x:c>
      <x:c r="F3" s="103" t="str">
        <x:v>交互原则</x:v>
      </x:c>
      <x:c r="G3" s="103" t="str">
        <x:v>移动端策略</x:v>
      </x:c>
    </x:row>
    <x:row r="4" ht="24" hidden="0" customHeight="1">
      <x:c r="A4" s="52" t="str">
        <x:v>顶部导航</x:v>
      </x:c>
      <x:c r="B4" s="53" t="str">
        <x:v>身份、全局搜索、消息和紧急状态</x:v>
      </x:c>
      <x:c r="C4" s="53" t="str">
        <x:v>推荐位置为“顶部”的板块</x:v>
      </x:c>
      <x:c r="D4" s="53" t="str">
        <x:v>身份切换、搜索、消息徽标、紧急预警条</x:v>
      </x:c>
      <x:c r="E4" s="53" t="str">
        <x:v>始终固定；只显示与当前身份有关的数据</x:v>
      </x:c>
      <x:c r="F4" s="53" t="str">
        <x:v>点击预警必须进入来源业务单，不在首页直接改状态</x:v>
      </x:c>
      <x:c r="G4" s="54" t="str">
        <x:v>固定顶部；消息和身份切换采用抽屉</x:v>
      </x:c>
    </x:row>
    <x:row r="5" ht="24" hidden="0" customHeight="1">
      <x:c r="A5" s="55" t="str">
        <x:v>首屏核心区</x:v>
      </x:c>
      <x:c r="B5" s="56" t="str">
        <x:v>用户打开首页后立即看懂当前最重要状态</x:v>
      </x:c>
      <x:c r="C5" s="56" t="str">
        <x:v>所有P0且推荐位置为“首屏”的板块</x:v>
      </x:c>
      <x:c r="D5" s="56" t="str">
        <x:v>KPI卡、待办列表、风险卡、今日计划</x:v>
      </x:c>
      <x:c r="E5" s="56" t="str">
        <x:v>控制在4—6个大板块；按角色动态排序</x:v>
      </x:c>
      <x:c r="F5" s="56" t="str">
        <x:v>支持一键下钻和快捷处理；禁止信息堆积</x:v>
      </x:c>
      <x:c r="G5" s="57" t="str">
        <x:v>纵向卡片；优先待办、风险和今日任务</x:v>
      </x:c>
    </x:row>
    <x:row r="6" ht="15" hidden="0" customHeight="1">
      <x:c r="A6" s="55" t="str">
        <x:v>第二屏运营区</x:v>
      </x:c>
      <x:c r="B6" s="56" t="str">
        <x:v>承载日常专业管理和高频协同</x:v>
      </x:c>
      <x:c r="C6" s="56" t="str">
        <x:v>推荐位置为“第二屏”的板块</x:v>
      </x:c>
      <x:c r="D6" s="56" t="str">
        <x:v>模块卡、趋势图、日历、任务看板</x:v>
      </x:c>
      <x:c r="E6" s="56" t="str">
        <x:v>按常用频率排序；允许个人收藏</x:v>
      </x:c>
      <x:c r="F6" s="56" t="str">
        <x:v>保持主单、子单和来源单据可追溯</x:v>
      </x:c>
      <x:c r="G6" s="57" t="str">
        <x:v>宫格+列表切换，复杂图表简化</x:v>
      </x:c>
    </x:row>
    <x:row r="7" ht="15" hidden="0" customHeight="1">
      <x:c r="A7" s="55" t="str">
        <x:v>底部/抽屉区</x:v>
      </x:c>
      <x:c r="B7" s="56" t="str">
        <x:v>承载低频、敏感或配置型功能</x:v>
      </x:c>
      <x:c r="C7" s="56" t="str">
        <x:v>推荐位置为“底部/抽屉”的板块</x:v>
      </x:c>
      <x:c r="D7" s="56" t="str">
        <x:v>折叠面板、更多菜单、受控入口</x:v>
      </x:c>
      <x:c r="E7" s="56" t="str">
        <x:v>默认折叠；按权限加载</x:v>
      </x:c>
      <x:c r="F7" s="56" t="str">
        <x:v>敏感查看二次认证；配置操作提示影响范围</x:v>
      </x:c>
      <x:c r="G7" s="57" t="str">
        <x:v>放入“更多”页面，避免首页过长</x:v>
      </x:c>
    </x:row>
    <x:row r="8" ht="24" hidden="0" customHeight="1">
      <x:c r="A8" s="58" t="str">
        <x:v>全局异常层</x:v>
      </x:c>
      <x:c r="B8" s="59" t="str">
        <x:v>任何页面都能及时看到阻断风险</x:v>
      </x:c>
      <x:c r="C8" s="59" t="str">
        <x:v>P0告警、部分失败、权限/安全异常</x:v>
      </x:c>
      <x:c r="D8" s="59" t="str">
        <x:v>横幅、Toast、红点、故障浮层</x:v>
      </x:c>
      <x:c r="E8" s="59" t="str">
        <x:v>只展示需要当前用户动作的异常</x:v>
      </x:c>
      <x:c r="F8" s="59" t="str">
        <x:v>已读不等于关闭；必须处理或转交</x:v>
      </x:c>
      <x:c r="G8" s="60" t="str">
        <x:v>高风险使用固定横幅，普通异常放消息中心</x:v>
      </x:c>
    </x:row>
    <x:row r="11">
      <x:c r="A11" s="136" t="str">
        <x:v>推荐位置</x:v>
      </x:c>
      <x:c r="B11" s="137" t="str">
        <x:v>板块数量</x:v>
      </x:c>
    </x:row>
    <x:row r="12">
      <x:c r="A12" s="116" t="str">
        <x:v>顶部</x:v>
      </x:c>
      <x:c r="B12" s="117" t="n">
        <x:f>COUNTIF('首页板块清单'!$K$7:$K$21,A12)</x:f>
        <x:v>1</x:v>
      </x:c>
    </x:row>
    <x:row r="13">
      <x:c r="A13" s="116" t="str">
        <x:v>首屏</x:v>
      </x:c>
      <x:c r="B13" s="117" t="n">
        <x:f>COUNTIF('首页板块清单'!$K$7:$K$21,A13)</x:f>
        <x:v>7</x:v>
      </x:c>
    </x:row>
    <x:row r="14">
      <x:c r="A14" s="116" t="str">
        <x:v>第二屏</x:v>
      </x:c>
      <x:c r="B14" s="117" t="n">
        <x:f>COUNTIF('首页板块清单'!$K$7:$K$21,A14)</x:f>
        <x:v>5</x:v>
      </x:c>
    </x:row>
    <x:row r="15">
      <x:c r="A15" s="118" t="str">
        <x:v>底部/抽屉</x:v>
      </x:c>
      <x:c r="B15" s="119" t="n">
        <x:f>COUNTIF('首页板块清单'!$K$7:$K$21,A15)</x:f>
        <x:v>2</x:v>
      </x:c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c1e92ad45d8b4360"/>
  <x:tableParts count="1">
    <x:tablePart xmlns:r="http://schemas.openxmlformats.org/officeDocument/2006/relationships" r:id="R4c67d4af3c5a4a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36" hidden="0" customWidth="1"/>
    <x:col min="4" max="4" width="24" hidden="0" customWidth="1"/>
    <x:col min="5" max="5" width="34" hidden="0" customWidth="1"/>
    <x:col min="6" max="6" width="40" hidden="0" customWidth="1"/>
    <x:col min="7" max="7" width="30" hidden="0" customWidth="1"/>
  </x:cols>
  <x:sheetData>
    <x:row r="1" ht="30" customHeight="1">
      <x:c r="A1" s="5" t="str">
        <x:v>上金谷运营系统·中心管理端首页板块规划——角色与首页差异</x:v>
      </x:c>
      <x:c r="B1" s="5"/>
      <x:c r="C1" s="5"/>
      <x:c r="D1" s="5"/>
      <x:c r="E1" s="5"/>
      <x:c r="F1" s="5"/>
      <x:c r="G1" s="5"/>
    </x:row>
    <x:row r="3">
      <x:c r="A3" s="103" t="str">
        <x:v>典型角色</x:v>
      </x:c>
      <x:c r="B3" s="103" t="str">
        <x:v>默认首页形态</x:v>
      </x:c>
      <x:c r="C3" s="103" t="str">
        <x:v>重点首页板块</x:v>
      </x:c>
      <x:c r="D3" s="103" t="str">
        <x:v>默认数据范围</x:v>
      </x:c>
      <x:c r="E3" s="103" t="str">
        <x:v>主要可操作动作</x:v>
      </x:c>
      <x:c r="F3" s="103" t="str">
        <x:v>禁止/限制</x:v>
      </x:c>
      <x:c r="G3" s="103" t="str">
        <x:v>身份切换与特殊控制</x:v>
      </x:c>
    </x:row>
    <x:row r="4" ht="15" hidden="0" customHeight="1">
      <x:c r="A4" s="52" t="str">
        <x:v>部门负责人</x:v>
      </x:c>
      <x:c r="B4" s="53" t="str">
        <x:v>部门运行首页</x:v>
      </x:c>
      <x:c r="C4" s="53" t="str">
        <x:v>待审批、排班、人力负荷、任务、专业业务</x:v>
      </x:c>
      <x:c r="D4" s="53" t="str">
        <x:v>DEPARTMENT</x:v>
      </x:c>
      <x:c r="E4" s="53" t="str">
        <x:v>审批、分派、复核、验收</x:v>
      </x:c>
      <x:c r="F4" s="53" t="str">
        <x:v>不得修改HR/财务权威字段</x:v>
      </x:c>
      <x:c r="G4" s="54" t="str">
        <x:v>按部门负责人任职解析</x:v>
      </x:c>
    </x:row>
    <x:row r="5" ht="15" hidden="0" customHeight="1">
      <x:c r="A5" s="55" t="str">
        <x:v>中心副职/代理负责人</x:v>
      </x:c>
      <x:c r="B5" s="56" t="str">
        <x:v>中心运行首页</x:v>
      </x:c>
      <x:c r="C5" s="56" t="str">
        <x:v>跨部门协同、风险、资源、任务</x:v>
      </x:c>
      <x:c r="D5" s="56" t="str">
        <x:v>CENTER（授权范围）</x:v>
      </x:c>
      <x:c r="E5" s="56" t="str">
        <x:v>审批、协调、验收、升级</x:v>
      </x:c>
      <x:c r="F5" s="56" t="str">
        <x:v>代理必须有期限；高风险权限单独授权</x:v>
      </x:c>
      <x:c r="G5" s="57" t="str">
        <x:v>代理到期自动回收</x:v>
      </x:c>
    </x:row>
    <x:row r="6" ht="15" hidden="0" customHeight="1">
      <x:c r="A6" s="55" t="str">
        <x:v>中心负责人</x:v>
      </x:c>
      <x:c r="B6" s="56" t="str">
        <x:v>中心经营驾驶舱</x:v>
      </x:c>
      <x:c r="C6" s="56" t="str">
        <x:v>经营指标、人事编制、预算、风险、跨中心协同</x:v>
      </x:c>
      <x:c r="D6" s="56" t="str">
        <x:v>CENTER</x:v>
      </x:c>
      <x:c r="E6" s="56" t="str">
        <x:v>决策、审批、资源配置、最终验收</x:v>
      </x:c>
      <x:c r="F6" s="56" t="str">
        <x:v>默认仅本中心；公司级权限需单独授权</x:v>
      </x:c>
      <x:c r="G6" s="57" t="str">
        <x:v>主责中心唯一</x:v>
      </x:c>
    </x:row>
    <x:row r="7" ht="15" hidden="0" customHeight="1">
      <x:c r="A7" s="55" t="str">
        <x:v>专业复核人</x:v>
      </x:c>
      <x:c r="B7" s="56" t="str">
        <x:v>专业复核工作台</x:v>
      </x:c>
      <x:c r="C7" s="56" t="str">
        <x:v>专业质量、资格、验收、风险</x:v>
      </x:c>
      <x:c r="D7" s="56" t="str">
        <x:v>RESOURCE_SCOPE/PROJECT</x:v>
      </x:c>
      <x:c r="E7" s="56" t="str">
        <x:v>专业复核、退回、验收</x:v>
      </x:c>
      <x:c r="F7" s="56" t="str">
        <x:v>不得替代财务付款、人力决定或事故最终责任</x:v>
      </x:c>
      <x:c r="G7" s="57" t="str">
        <x:v>按专业资格解析</x:v>
      </x:c>
    </x:row>
    <x:row r="8" ht="15" hidden="0" customHeight="1">
      <x:c r="A8" s="55" t="str">
        <x:v>调度/计划人员</x:v>
      </x:c>
      <x:c r="B8" s="56" t="str">
        <x:v>调度首页</x:v>
      </x:c>
      <x:c r="C8" s="56" t="str">
        <x:v>排班、资源、车辆、场地、活动</x:v>
      </x:c>
      <x:c r="D8" s="56" t="str">
        <x:v>RESOURCE_SCOPE</x:v>
      </x:c>
      <x:c r="E8" s="56" t="str">
        <x:v>调度、变更、冲突处理</x:v>
      </x:c>
      <x:c r="F8" s="56" t="str">
        <x:v>不得绕过审批或超卖资源</x:v>
      </x:c>
      <x:c r="G8" s="57" t="str">
        <x:v>资源锁定和SLA</x:v>
      </x:c>
    </x:row>
    <x:row r="9" ht="15" hidden="0" customHeight="1">
      <x:c r="A9" s="55" t="str">
        <x:v>数据责任人/分析岗</x:v>
      </x:c>
      <x:c r="B9" s="56" t="str">
        <x:v>分析首页</x:v>
      </x:c>
      <x:c r="C9" s="56" t="str">
        <x:v>指标、报表、数据质量、对账</x:v>
      </x:c>
      <x:c r="D9" s="56" t="str">
        <x:v>CENTER/字段授权</x:v>
      </x:c>
      <x:c r="E9" s="56" t="str">
        <x:v>下钻、导出、发起修复工单</x:v>
      </x:c>
      <x:c r="F9" s="56" t="str">
        <x:v>不得直接后台改数；敏感导出需审批</x:v>
      </x:c>
      <x:c r="G9" s="57" t="str">
        <x:v>只读+受控修复</x:v>
      </x:c>
    </x:row>
    <x:row r="10" ht="15" hidden="0" customHeight="1">
      <x:c r="A10" s="58" t="str">
        <x:v>审计/监督只读</x:v>
      </x:c>
      <x:c r="B10" s="59" t="str">
        <x:v>监督首页</x:v>
      </x:c>
      <x:c r="C10" s="59" t="str">
        <x:v>审批、审计、风险、证据</x:v>
      </x:c>
      <x:c r="D10" s="59" t="str">
        <x:v>授权专项/只读</x:v>
      </x:c>
      <x:c r="E10" s="59" t="str">
        <x:v>调阅、提出问题、形成监督意见</x:v>
      </x:c>
      <x:c r="F10" s="59" t="str">
        <x:v>不得创建、审批、执行被监督业务</x:v>
      </x:c>
      <x:c r="G10" s="60" t="str">
        <x:v>利益冲突回避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56e3560d7314bb8"/>
  </x:tableParts>
</x:worksheet>
</file>