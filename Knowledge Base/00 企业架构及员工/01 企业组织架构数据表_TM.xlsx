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f9b1b36c8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织架构" sheetId="1" r:id="Rdd788eb2215d46bc"/>
    <x:sheet xmlns:r="http://schemas.openxmlformats.org/officeDocument/2006/relationships" name="任职明细" sheetId="2" r:id="Rdc4c3bf76712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365F9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C65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5989115a1416b" /><Relationship Type="http://schemas.openxmlformats.org/officeDocument/2006/relationships/theme" Target="/xl/theme/theme1.xml" Id="R0dc81f65e81644f1" /><Relationship Type="http://schemas.openxmlformats.org/officeDocument/2006/relationships/sharedStrings" Target="/xl/sharedStrings.xml" Id="R5e1898bc607845ea" /><Relationship Type="http://schemas.openxmlformats.org/officeDocument/2006/relationships/worksheet" Target="/xl/worksheets/sheet1.xml" Id="Rdd788eb2215d46bc" /><Relationship Type="http://schemas.openxmlformats.org/officeDocument/2006/relationships/worksheet" Target="/xl/worksheets/sheet2.xml" Id="Rdc4c3bf767124309" /></Relationships>
</file>

<file path=xl/tables/table1.xml><?xml version="1.0" encoding="utf-8"?>
<x:table xmlns:x="http://schemas.openxmlformats.org/spreadsheetml/2006/main" id="1" name="OrganizationUnits" displayName="OrganizationUnits" ref="A4:P70" headerRowCount="1" totalsRowCount="0" totalsRowShown="0">
  <x:autoFilter ref="A4:P70"/>
  <x:tableColumns count="16">
    <x:tableColumn id="1" name="序号"/>
    <x:tableColumn id="2" name="组织ID"/>
    <x:tableColumn id="3" name="上级组织ID"/>
    <x:tableColumn id="4" name="组织层级"/>
    <x:tableColumn id="5" name="管理线"/>
    <x:tableColumn id="6" name="一级组织"/>
    <x:tableColumn id="7" name="二级组织"/>
    <x:tableColumn id="8" name="三级组织"/>
    <x:tableColumn id="9" name="四级组织"/>
    <x:tableColumn id="10" name="组织名称"/>
    <x:tableColumn id="11" name="组织类型"/>
    <x:tableColumn id="12" name="上级组织"/>
    <x:tableColumn id="13" name="组织全路径"/>
    <x:tableColumn id="14" name="人员列示状态"/>
    <x:tableColumn id="15" name="直接任职人数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Assignments" displayName="RoleAssignments" ref="A4:L229" headerRowCount="1" totalsRowCount="0" totalsRowShown="0">
  <x:autoFilter ref="A4:L229"/>
  <x:tableColumns count="12">
    <x:tableColumn id="1" name="序号"/>
    <x:tableColumn id="2" name="管理线"/>
    <x:tableColumn id="3" name="一级组织"/>
    <x:tableColumn id="4" name="二级组织"/>
    <x:tableColumn id="5" name="三级组织"/>
    <x:tableColumn id="6" name="四级组织"/>
    <x:tableColumn id="7" name="组织全路径"/>
    <x:tableColumn id="8" name="姓名"/>
    <x:tableColumn id="9" name="职务"/>
    <x:tableColumn id="10" name="任职次数"/>
    <x:tableColumn id="11" name="兼任标识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5e53c0818849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f4f13338a043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1" hidden="0" customWidth="1"/>
    <x:col min="3" max="3" width="12" hidden="0" customWidth="1"/>
    <x:col min="4" max="4" width="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2" hidden="0" customWidth="1"/>
    <x:col min="12" max="12" width="18" hidden="0" customWidth="1"/>
    <x:col min="13" max="13" width="46" hidden="0" customWidth="1"/>
    <x:col min="14" max="14" width="14" hidden="0" customWidth="1"/>
    <x:col min="15" max="15" width="13" hidden="0" customWidth="1"/>
    <x:col min="16" max="16" width="24" hidden="0" customWidth="1"/>
  </x:cols>
  <x:sheetData>
    <x:row r="1" ht="30" customHeight="1">
      <x:c r="A1" s="3" t="str">
        <x:v>企业组织架构数据表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6" t="str">
        <x:v>来源：260801企业架构人员名单.md｜组织单元按原名单层级拆分；董事长直管单位与总裁线作为一级管理线列示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8" customHeight="1"/>
    <x:row r="4" ht="30" hidden="0" customHeight="1">
      <x:c r="A4" s="11" t="str">
        <x:v>序号</x:v>
      </x:c>
      <x:c r="B4" s="11" t="str">
        <x:v>组织ID</x:v>
      </x:c>
      <x:c r="C4" s="11" t="str">
        <x:v>上级组织ID</x:v>
      </x:c>
      <x:c r="D4" s="11" t="str">
        <x:v>组织层级</x:v>
      </x:c>
      <x:c r="E4" s="11" t="str">
        <x:v>管理线</x:v>
      </x:c>
      <x:c r="F4" s="11" t="str">
        <x:v>一级组织</x:v>
      </x:c>
      <x:c r="G4" s="11" t="str">
        <x:v>二级组织</x:v>
      </x:c>
      <x:c r="H4" s="11" t="str">
        <x:v>三级组织</x:v>
      </x:c>
      <x:c r="I4" s="11" t="str">
        <x:v>四级组织</x:v>
      </x:c>
      <x:c r="J4" s="11" t="str">
        <x:v>组织名称</x:v>
      </x:c>
      <x:c r="K4" s="11" t="str">
        <x:v>组织类型</x:v>
      </x:c>
      <x:c r="L4" s="11" t="str">
        <x:v>上级组织</x:v>
      </x:c>
      <x:c r="M4" s="11" t="str">
        <x:v>组织全路径</x:v>
      </x:c>
      <x:c r="N4" s="11" t="str">
        <x:v>人员列示状态</x:v>
      </x:c>
      <x:c r="O4" s="11" t="str">
        <x:v>直接任职人数</x:v>
      </x:c>
      <x:c r="P4" s="11" t="str">
        <x:v>备注</x:v>
      </x:c>
    </x:row>
    <x:row r="5" ht="15" hidden="0" customHeight="1">
      <x:c r="A5" s="14" t="n">
        <x:v>1</x:v>
      </x:c>
      <x:c r="B5" s="14" t="str">
        <x:v>ORG001</x:v>
      </x:c>
      <x:c r="C5" s="14" t="str"/>
      <x:c r="D5" s="14" t="n">
        <x:v>0</x:v>
      </x:c>
      <x:c r="E5" s="14" t="str"/>
      <x:c r="F5" s="14" t="str"/>
      <x:c r="G5" s="14" t="str"/>
      <x:c r="H5" s="14" t="str"/>
      <x:c r="I5" s="14" t="str"/>
      <x:c r="J5" s="14" t="str">
        <x:v>股东会</x:v>
      </x:c>
      <x:c r="K5" s="14" t="str">
        <x:v>治理机构</x:v>
      </x:c>
      <x:c r="L5" s="12" t="str"/>
      <x:c r="M5" s="13" t="str">
        <x:v>股东会</x:v>
      </x:c>
      <x:c r="N5" s="15" t="str">
        <x:v>未单列人员</x:v>
      </x:c>
      <x:c r="O5" s="15" t="n">
        <x:f>COUNTIF('任职明细'!$G$5:$G$229,M5)</x:f>
        <x:v>0</x:v>
      </x:c>
      <x:c r="P5" s="13" t="str">
        <x:v>组织架构根节点</x:v>
      </x:c>
    </x:row>
    <x:row r="6" ht="15" hidden="0" customHeight="1">
      <x:c r="A6" s="14" t="n">
        <x:v>2</x:v>
      </x:c>
      <x:c r="B6" s="14" t="str">
        <x:v>ORG002</x:v>
      </x:c>
      <x:c r="C6" s="14" t="str">
        <x:v>ORG001</x:v>
      </x:c>
      <x:c r="D6" s="14" t="n">
        <x:v>1</x:v>
      </x:c>
      <x:c r="E6" s="14" t="str">
        <x:v>党支部</x:v>
      </x:c>
      <x:c r="F6" s="14" t="str">
        <x:v>党支部</x:v>
      </x:c>
      <x:c r="G6" s="14" t="str"/>
      <x:c r="H6" s="14" t="str"/>
      <x:c r="I6" s="14" t="str"/>
      <x:c r="J6" s="14" t="str">
        <x:v>党支部</x:v>
      </x:c>
      <x:c r="K6" s="14" t="str">
        <x:v>治理机构</x:v>
      </x:c>
      <x:c r="L6" s="12" t="str">
        <x:v>股东会</x:v>
      </x:c>
      <x:c r="M6" s="13" t="str">
        <x:v>股东会 &gt; 党支部</x:v>
      </x:c>
      <x:c r="N6" s="15" t="str">
        <x:v>未单列人员</x:v>
      </x:c>
      <x:c r="O6" s="15" t="n">
        <x:f>COUNTIF('任职明细'!$G$5:$G$229,M6)</x:f>
        <x:v>0</x:v>
      </x:c>
      <x:c r="P6" s="13" t="str"/>
    </x:row>
    <x:row r="7" ht="15" hidden="0" customHeight="1">
      <x:c r="A7" s="14" t="n">
        <x:v>3</x:v>
      </x:c>
      <x:c r="B7" s="14" t="str">
        <x:v>ORG003</x:v>
      </x:c>
      <x:c r="C7" s="14" t="str">
        <x:v>ORG002</x:v>
      </x:c>
      <x:c r="D7" s="14" t="n">
        <x:v>2</x:v>
      </x:c>
      <x:c r="E7" s="14" t="str">
        <x:v>党支部</x:v>
      </x:c>
      <x:c r="F7" s="14" t="str">
        <x:v>党支部</x:v>
      </x:c>
      <x:c r="G7" s="14" t="str">
        <x:v>工会</x:v>
      </x:c>
      <x:c r="H7" s="14" t="str"/>
      <x:c r="I7" s="14" t="str"/>
      <x:c r="J7" s="14" t="str">
        <x:v>工会</x:v>
      </x:c>
      <x:c r="K7" s="14" t="str">
        <x:v>治理机构</x:v>
      </x:c>
      <x:c r="L7" s="12" t="str">
        <x:v>党支部</x:v>
      </x:c>
      <x:c r="M7" s="13" t="str">
        <x:v>股东会 &gt; 党支部 &gt; 工会</x:v>
      </x:c>
      <x:c r="N7" s="15" t="str">
        <x:v>已列人员</x:v>
      </x:c>
      <x:c r="O7" s="15" t="n">
        <x:f>COUNTIF('任职明细'!$G$5:$G$229,M7)</x:f>
        <x:v>2</x:v>
      </x:c>
      <x:c r="P7" s="13" t="str"/>
    </x:row>
    <x:row r="8" ht="15" hidden="0" customHeight="1">
      <x:c r="A8" s="14" t="n">
        <x:v>4</x:v>
      </x:c>
      <x:c r="B8" s="14" t="str">
        <x:v>ORG004</x:v>
      </x:c>
      <x:c r="C8" s="14" t="str">
        <x:v>ORG002</x:v>
      </x:c>
      <x:c r="D8" s="14" t="n">
        <x:v>2</x:v>
      </x:c>
      <x:c r="E8" s="14" t="str">
        <x:v>党支部</x:v>
      </x:c>
      <x:c r="F8" s="14" t="str">
        <x:v>党支部</x:v>
      </x:c>
      <x:c r="G8" s="14" t="str">
        <x:v>党建办公室</x:v>
      </x:c>
      <x:c r="H8" s="14" t="str"/>
      <x:c r="I8" s="14" t="str"/>
      <x:c r="J8" s="14" t="str">
        <x:v>党建办公室</x:v>
      </x:c>
      <x:c r="K8" s="14" t="str">
        <x:v>办公室</x:v>
      </x:c>
      <x:c r="L8" s="12" t="str">
        <x:v>党支部</x:v>
      </x:c>
      <x:c r="M8" s="13" t="str">
        <x:v>股东会 &gt; 党支部 &gt; 党建办公室</x:v>
      </x:c>
      <x:c r="N8" s="15" t="str">
        <x:v>已列人员</x:v>
      </x:c>
      <x:c r="O8" s="15" t="n">
        <x:f>COUNTIF('任职明细'!$G$5:$G$229,M8)</x:f>
        <x:v>1</x:v>
      </x:c>
      <x:c r="P8" s="13" t="str"/>
    </x:row>
    <x:row r="9" ht="15" hidden="0" customHeight="1">
      <x:c r="A9" s="14" t="n">
        <x:v>5</x:v>
      </x:c>
      <x:c r="B9" s="14" t="str">
        <x:v>ORG005</x:v>
      </x:c>
      <x:c r="C9" s="14" t="str">
        <x:v>ORG001</x:v>
      </x:c>
      <x:c r="D9" s="14" t="n">
        <x:v>1</x:v>
      </x:c>
      <x:c r="E9" s="14" t="str">
        <x:v>董事会</x:v>
      </x:c>
      <x:c r="F9" s="14" t="str">
        <x:v>董事会</x:v>
      </x:c>
      <x:c r="G9" s="14" t="str"/>
      <x:c r="H9" s="14" t="str"/>
      <x:c r="I9" s="14" t="str"/>
      <x:c r="J9" s="14" t="str">
        <x:v>董事会</x:v>
      </x:c>
      <x:c r="K9" s="14" t="str">
        <x:v>治理机构</x:v>
      </x:c>
      <x:c r="L9" s="12" t="str">
        <x:v>股东会</x:v>
      </x:c>
      <x:c r="M9" s="13" t="str">
        <x:v>股东会 &gt; 董事会</x:v>
      </x:c>
      <x:c r="N9" s="15" t="str">
        <x:v>未单列人员</x:v>
      </x:c>
      <x:c r="O9" s="15" t="n">
        <x:f>COUNTIF('任职明细'!$G$5:$G$229,M9)</x:f>
        <x:v>0</x:v>
      </x:c>
      <x:c r="P9" s="13" t="str"/>
    </x:row>
    <x:row r="10" ht="15" hidden="0" customHeight="1">
      <x:c r="A10" s="14" t="n">
        <x:v>6</x:v>
      </x:c>
      <x:c r="B10" s="14" t="str">
        <x:v>ORG006</x:v>
      </x:c>
      <x:c r="C10" s="14" t="str">
        <x:v>ORG005</x:v>
      </x:c>
      <x:c r="D10" s="14" t="n">
        <x:v>2</x:v>
      </x:c>
      <x:c r="E10" s="14" t="str">
        <x:v>董事会</x:v>
      </x:c>
      <x:c r="F10" s="14" t="str">
        <x:v>董事会</x:v>
      </x:c>
      <x:c r="G10" s="14" t="str">
        <x:v>决策委</x:v>
      </x:c>
      <x:c r="H10" s="14" t="str"/>
      <x:c r="I10" s="14" t="str"/>
      <x:c r="J10" s="14" t="str">
        <x:v>决策委</x:v>
      </x:c>
      <x:c r="K10" s="14" t="str">
        <x:v>治理机构</x:v>
      </x:c>
      <x:c r="L10" s="12" t="str">
        <x:v>董事会</x:v>
      </x:c>
      <x:c r="M10" s="13" t="str">
        <x:v>股东会 &gt; 董事会 &gt; 决策委</x:v>
      </x:c>
      <x:c r="N10" s="15" t="str">
        <x:v>未单列人员</x:v>
      </x:c>
      <x:c r="O10" s="15" t="n">
        <x:f>COUNTIF('任职明细'!$G$5:$G$229,M10)</x:f>
        <x:v>0</x:v>
      </x:c>
      <x:c r="P10" s="13" t="str"/>
    </x:row>
    <x:row r="11" ht="15" hidden="0" customHeight="1">
      <x:c r="A11" s="14" t="n">
        <x:v>7</x:v>
      </x:c>
      <x:c r="B11" s="14" t="str">
        <x:v>ORG007</x:v>
      </x:c>
      <x:c r="C11" s="14" t="str">
        <x:v>ORG005</x:v>
      </x:c>
      <x:c r="D11" s="14" t="n">
        <x:v>2</x:v>
      </x:c>
      <x:c r="E11" s="14" t="str">
        <x:v>董事会</x:v>
      </x:c>
      <x:c r="F11" s="14" t="str">
        <x:v>董事会</x:v>
      </x:c>
      <x:c r="G11" s="14" t="str">
        <x:v>董办</x:v>
      </x:c>
      <x:c r="H11" s="14" t="str"/>
      <x:c r="I11" s="14" t="str"/>
      <x:c r="J11" s="14" t="str">
        <x:v>董办</x:v>
      </x:c>
      <x:c r="K11" s="14" t="str">
        <x:v>办公室</x:v>
      </x:c>
      <x:c r="L11" s="12" t="str">
        <x:v>董事会</x:v>
      </x:c>
      <x:c r="M11" s="13" t="str">
        <x:v>股东会 &gt; 董事会 &gt; 董办</x:v>
      </x:c>
      <x:c r="N11" s="15" t="str">
        <x:v>已列人员</x:v>
      </x:c>
      <x:c r="O11" s="15" t="n">
        <x:f>COUNTIF('任职明细'!$G$5:$G$229,M11)</x:f>
        <x:v>3</x:v>
      </x:c>
      <x:c r="P11" s="13" t="str"/>
    </x:row>
    <x:row r="12" ht="15" hidden="0" customHeight="1">
      <x:c r="A12" s="14" t="n">
        <x:v>8</x:v>
      </x:c>
      <x:c r="B12" s="14" t="str">
        <x:v>ORG008</x:v>
      </x:c>
      <x:c r="C12" s="14" t="str">
        <x:v>ORG001</x:v>
      </x:c>
      <x:c r="D12" s="14" t="n">
        <x:v>1</x:v>
      </x:c>
      <x:c r="E12" s="14" t="str">
        <x:v>监事会</x:v>
      </x:c>
      <x:c r="F12" s="14" t="str">
        <x:v>监事会</x:v>
      </x:c>
      <x:c r="G12" s="14" t="str"/>
      <x:c r="H12" s="14" t="str"/>
      <x:c r="I12" s="14" t="str"/>
      <x:c r="J12" s="14" t="str">
        <x:v>监事会</x:v>
      </x:c>
      <x:c r="K12" s="14" t="str">
        <x:v>治理机构</x:v>
      </x:c>
      <x:c r="L12" s="12" t="str">
        <x:v>股东会</x:v>
      </x:c>
      <x:c r="M12" s="13" t="str">
        <x:v>股东会 &gt; 监事会</x:v>
      </x:c>
      <x:c r="N12" s="15" t="str">
        <x:v>已列人员</x:v>
      </x:c>
      <x:c r="O12" s="15" t="n">
        <x:f>COUNTIF('任职明细'!$G$5:$G$229,M12)</x:f>
        <x:v>3</x:v>
      </x:c>
      <x:c r="P12" s="13" t="str"/>
    </x:row>
    <x:row r="13" ht="15" hidden="0" customHeight="1">
      <x:c r="A13" s="14" t="n">
        <x:v>9</x:v>
      </x:c>
      <x:c r="B13" s="14" t="str">
        <x:v>ORG009</x:v>
      </x:c>
      <x:c r="C13" s="14" t="str">
        <x:v>ORG001</x:v>
      </x:c>
      <x:c r="D13" s="14" t="n">
        <x:v>1</x:v>
      </x:c>
      <x:c r="E13" s="14" t="str">
        <x:v>董事长直管独立单位</x:v>
      </x:c>
      <x:c r="F13" s="14" t="str">
        <x:v>董事长直管独立单位</x:v>
      </x:c>
      <x:c r="G13" s="14" t="str"/>
      <x:c r="H13" s="14" t="str"/>
      <x:c r="I13" s="14" t="str"/>
      <x:c r="J13" s="14" t="str">
        <x:v>董事长直管独立单位</x:v>
      </x:c>
      <x:c r="K13" s="14" t="str">
        <x:v>管理线</x:v>
      </x:c>
      <x:c r="L13" s="12" t="str">
        <x:v>股东会</x:v>
      </x:c>
      <x:c r="M13" s="13" t="str">
        <x:v>股东会 &gt; 董事长直管独立单位</x:v>
      </x:c>
      <x:c r="N13" s="15" t="str">
        <x:v>未单列人员</x:v>
      </x:c>
      <x:c r="O13" s="15" t="n">
        <x:f>COUNTIF('任职明细'!$G$5:$G$229,M13)</x:f>
        <x:v>0</x:v>
      </x:c>
      <x:c r="P13" s="13" t="str"/>
    </x:row>
    <x:row r="14" ht="15" hidden="0" customHeight="1">
      <x:c r="A14" s="14" t="n">
        <x:v>10</x:v>
      </x:c>
      <x:c r="B14" s="14" t="str">
        <x:v>ORG010</x:v>
      </x:c>
      <x:c r="C14" s="14" t="str">
        <x:v>ORG009</x:v>
      </x:c>
      <x:c r="D14" s="14" t="n">
        <x:v>2</x:v>
      </x:c>
      <x:c r="E14" s="14" t="str">
        <x:v>董事长直管独立单位</x:v>
      </x:c>
      <x:c r="F14" s="14" t="str">
        <x:v>董事长直管独立单位</x:v>
      </x:c>
      <x:c r="G14" s="14" t="str">
        <x:v>工程建设指挥部</x:v>
      </x:c>
      <x:c r="H14" s="14" t="str"/>
      <x:c r="I14" s="14" t="str"/>
      <x:c r="J14" s="14" t="str">
        <x:v>工程建设指挥部</x:v>
      </x:c>
      <x:c r="K14" s="14" t="str">
        <x:v>部门</x:v>
      </x:c>
      <x:c r="L14" s="12" t="str">
        <x:v>董事长直管独立单位</x:v>
      </x:c>
      <x:c r="M14" s="13" t="str">
        <x:v>股东会 &gt; 董事长直管独立单位 &gt; 工程建设指挥部</x:v>
      </x:c>
      <x:c r="N14" s="15" t="str">
        <x:v>未单列人员</x:v>
      </x:c>
      <x:c r="O14" s="15" t="n">
        <x:f>COUNTIF('任职明细'!$G$5:$G$229,M14)</x:f>
        <x:v>0</x:v>
      </x:c>
      <x:c r="P14" s="13" t="str"/>
    </x:row>
    <x:row r="15" ht="26.399999618530273" hidden="0" customHeight="1">
      <x:c r="A15" s="14" t="n">
        <x:v>11</x:v>
      </x:c>
      <x:c r="B15" s="14" t="str">
        <x:v>ORG011</x:v>
      </x:c>
      <x:c r="C15" s="14" t="str">
        <x:v>ORG010</x:v>
      </x:c>
      <x:c r="D15" s="14" t="n">
        <x:v>3</x:v>
      </x:c>
      <x:c r="E15" s="14" t="str">
        <x:v>董事长直管独立单位</x:v>
      </x:c>
      <x:c r="F15" s="14" t="str">
        <x:v>董事长直管独立单位</x:v>
      </x:c>
      <x:c r="G15" s="14" t="str">
        <x:v>工程建设指挥部</x:v>
      </x:c>
      <x:c r="H15" s="14" t="str">
        <x:v>本部管理岗</x:v>
      </x:c>
      <x:c r="I15" s="14" t="str"/>
      <x:c r="J15" s="14" t="str">
        <x:v>本部管理岗</x:v>
      </x:c>
      <x:c r="K15" s="14" t="str">
        <x:v>管理岗位</x:v>
      </x:c>
      <x:c r="L15" s="12" t="str">
        <x:v>工程建设指挥部</x:v>
      </x:c>
      <x:c r="M15" s="13" t="str">
        <x:v>股东会 &gt; 董事长直管独立单位 &gt; 工程建设指挥部 &gt; 本部管理岗</x:v>
      </x:c>
      <x:c r="N15" s="15" t="str">
        <x:v>已列人员</x:v>
      </x:c>
      <x:c r="O15" s="15" t="n">
        <x:f>COUNTIF('任职明细'!$G$5:$G$229,M15)</x:f>
        <x:v>2</x:v>
      </x:c>
      <x:c r="P15" s="13" t="str"/>
    </x:row>
    <x:row r="16" ht="26.399999618530273" hidden="0" customHeight="1">
      <x:c r="A16" s="14" t="n">
        <x:v>12</x:v>
      </x:c>
      <x:c r="B16" s="14" t="str">
        <x:v>ORG012</x:v>
      </x:c>
      <x:c r="C16" s="14" t="str">
        <x:v>ORG010</x:v>
      </x:c>
      <x:c r="D16" s="14" t="n">
        <x:v>3</x:v>
      </x:c>
      <x:c r="E16" s="14" t="str">
        <x:v>董事长直管独立单位</x:v>
      </x:c>
      <x:c r="F16" s="14" t="str">
        <x:v>董事长直管独立单位</x:v>
      </x:c>
      <x:c r="G16" s="14" t="str">
        <x:v>工程建设指挥部</x:v>
      </x:c>
      <x:c r="H16" s="14" t="str">
        <x:v>技术支持中心</x:v>
      </x:c>
      <x:c r="I16" s="14" t="str"/>
      <x:c r="J16" s="14" t="str">
        <x:v>技术支持中心</x:v>
      </x:c>
      <x:c r="K16" s="14" t="str">
        <x:v>中心</x:v>
      </x:c>
      <x:c r="L16" s="12" t="str">
        <x:v>工程建设指挥部</x:v>
      </x:c>
      <x:c r="M16" s="13" t="str">
        <x:v>股东会 &gt; 董事长直管独立单位 &gt; 工程建设指挥部 &gt; 技术支持中心</x:v>
      </x:c>
      <x:c r="N16" s="15" t="str">
        <x:v>已列人员</x:v>
      </x:c>
      <x:c r="O16" s="15" t="n">
        <x:f>COUNTIF('任职明细'!$G$5:$G$229,M16)</x:f>
        <x:v>4</x:v>
      </x:c>
      <x:c r="P16" s="13" t="str"/>
    </x:row>
    <x:row r="17" ht="26.399999618530273" hidden="0" customHeight="1">
      <x:c r="A17" s="14" t="n">
        <x:v>13</x:v>
      </x:c>
      <x:c r="B17" s="14" t="str">
        <x:v>ORG013</x:v>
      </x:c>
      <x:c r="C17" s="14" t="str">
        <x:v>ORG010</x:v>
      </x:c>
      <x:c r="D17" s="14" t="n">
        <x:v>3</x:v>
      </x:c>
      <x:c r="E17" s="14" t="str">
        <x:v>董事长直管独立单位</x:v>
      </x:c>
      <x:c r="F17" s="14" t="str">
        <x:v>董事长直管独立单位</x:v>
      </x:c>
      <x:c r="G17" s="14" t="str">
        <x:v>工程建设指挥部</x:v>
      </x:c>
      <x:c r="H17" s="14" t="str">
        <x:v>生产管理中心</x:v>
      </x:c>
      <x:c r="I17" s="14" t="str"/>
      <x:c r="J17" s="14" t="str">
        <x:v>生产管理中心</x:v>
      </x:c>
      <x:c r="K17" s="14" t="str">
        <x:v>中心</x:v>
      </x:c>
      <x:c r="L17" s="12" t="str">
        <x:v>工程建设指挥部</x:v>
      </x:c>
      <x:c r="M17" s="13" t="str">
        <x:v>股东会 &gt; 董事长直管独立单位 &gt; 工程建设指挥部 &gt; 生产管理中心</x:v>
      </x:c>
      <x:c r="N17" s="15" t="str">
        <x:v>已列人员</x:v>
      </x:c>
      <x:c r="O17" s="15" t="n">
        <x:f>COUNTIF('任职明细'!$G$5:$G$229,M17)</x:f>
        <x:v>6</x:v>
      </x:c>
      <x:c r="P17" s="13" t="str"/>
    </x:row>
    <x:row r="18" ht="26.399999618530273" hidden="0" customHeight="1">
      <x:c r="A18" s="14" t="n">
        <x:v>14</x:v>
      </x:c>
      <x:c r="B18" s="14" t="str">
        <x:v>ORG014</x:v>
      </x:c>
      <x:c r="C18" s="14" t="str">
        <x:v>ORG010</x:v>
      </x:c>
      <x:c r="D18" s="14" t="n">
        <x:v>3</x:v>
      </x:c>
      <x:c r="E18" s="14" t="str">
        <x:v>董事长直管独立单位</x:v>
      </x:c>
      <x:c r="F18" s="14" t="str">
        <x:v>董事长直管独立单位</x:v>
      </x:c>
      <x:c r="G18" s="14" t="str">
        <x:v>工程建设指挥部</x:v>
      </x:c>
      <x:c r="H18" s="14" t="str">
        <x:v>维修管理中心</x:v>
      </x:c>
      <x:c r="I18" s="14" t="str"/>
      <x:c r="J18" s="14" t="str">
        <x:v>维修管理中心</x:v>
      </x:c>
      <x:c r="K18" s="14" t="str">
        <x:v>中心</x:v>
      </x:c>
      <x:c r="L18" s="12" t="str">
        <x:v>工程建设指挥部</x:v>
      </x:c>
      <x:c r="M18" s="13" t="str">
        <x:v>股东会 &gt; 董事长直管独立单位 &gt; 工程建设指挥部 &gt; 维修管理中心</x:v>
      </x:c>
      <x:c r="N18" s="15" t="str">
        <x:v>已列人员</x:v>
      </x:c>
      <x:c r="O18" s="15" t="n">
        <x:f>COUNTIF('任职明细'!$G$5:$G$229,M18)</x:f>
        <x:v>7</x:v>
      </x:c>
      <x:c r="P18" s="13" t="str"/>
    </x:row>
    <x:row r="19" ht="15" hidden="0" customHeight="1">
      <x:c r="A19" s="14" t="n">
        <x:v>15</x:v>
      </x:c>
      <x:c r="B19" s="14" t="str">
        <x:v>ORG015</x:v>
      </x:c>
      <x:c r="C19" s="14" t="str">
        <x:v>ORG009</x:v>
      </x:c>
      <x:c r="D19" s="14" t="n">
        <x:v>2</x:v>
      </x:c>
      <x:c r="E19" s="14" t="str">
        <x:v>董事长直管独立单位</x:v>
      </x:c>
      <x:c r="F19" s="14" t="str">
        <x:v>董事长直管独立单位</x:v>
      </x:c>
      <x:c r="G19" s="14" t="str">
        <x:v>宁波善财商贸有限公司</x:v>
      </x:c>
      <x:c r="H19" s="14" t="str"/>
      <x:c r="I19" s="14" t="str"/>
      <x:c r="J19" s="14" t="str">
        <x:v>宁波善财商贸有限公司</x:v>
      </x:c>
      <x:c r="K19" s="14" t="str">
        <x:v>公司</x:v>
      </x:c>
      <x:c r="L19" s="12" t="str">
        <x:v>董事长直管独立单位</x:v>
      </x:c>
      <x:c r="M19" s="13" t="str">
        <x:v>股东会 &gt; 董事长直管独立单位 &gt; 宁波善财商贸有限公司</x:v>
      </x:c>
      <x:c r="N19" s="15" t="str">
        <x:v>已列人员</x:v>
      </x:c>
      <x:c r="O19" s="15" t="n">
        <x:f>COUNTIF('任职明细'!$G$5:$G$229,M19)</x:f>
        <x:v>1</x:v>
      </x:c>
      <x:c r="P19" s="13" t="str"/>
    </x:row>
    <x:row r="20" ht="15" hidden="0" customHeight="1">
      <x:c r="A20" s="14" t="n">
        <x:v>16</x:v>
      </x:c>
      <x:c r="B20" s="14" t="str">
        <x:v>ORG016</x:v>
      </x:c>
      <x:c r="C20" s="14" t="str">
        <x:v>ORG009</x:v>
      </x:c>
      <x:c r="D20" s="14" t="n">
        <x:v>2</x:v>
      </x:c>
      <x:c r="E20" s="14" t="str">
        <x:v>董事长直管独立单位</x:v>
      </x:c>
      <x:c r="F20" s="14" t="str">
        <x:v>董事长直管独立单位</x:v>
      </x:c>
      <x:c r="G20" s="14" t="str">
        <x:v>财人中心</x:v>
      </x:c>
      <x:c r="H20" s="14" t="str"/>
      <x:c r="I20" s="14" t="str"/>
      <x:c r="J20" s="14" t="str">
        <x:v>财人中心</x:v>
      </x:c>
      <x:c r="K20" s="14" t="str">
        <x:v>中心</x:v>
      </x:c>
      <x:c r="L20" s="12" t="str">
        <x:v>董事长直管独立单位</x:v>
      </x:c>
      <x:c r="M20" s="13" t="str">
        <x:v>股东会 &gt; 董事长直管独立单位 &gt; 财人中心</x:v>
      </x:c>
      <x:c r="N20" s="15" t="str">
        <x:v>未单列人员</x:v>
      </x:c>
      <x:c r="O20" s="15" t="n">
        <x:f>COUNTIF('任职明细'!$G$5:$G$229,M20)</x:f>
        <x:v>0</x:v>
      </x:c>
      <x:c r="P20" s="13" t="str"/>
    </x:row>
    <x:row r="21" ht="15" hidden="0" customHeight="1">
      <x:c r="A21" s="14" t="n">
        <x:v>17</x:v>
      </x:c>
      <x:c r="B21" s="14" t="str">
        <x:v>ORG017</x:v>
      </x:c>
      <x:c r="C21" s="14" t="str">
        <x:v>ORG016</x:v>
      </x:c>
      <x:c r="D21" s="14" t="n">
        <x:v>3</x:v>
      </x:c>
      <x:c r="E21" s="14" t="str">
        <x:v>董事长直管独立单位</x:v>
      </x:c>
      <x:c r="F21" s="14" t="str">
        <x:v>董事长直管独立单位</x:v>
      </x:c>
      <x:c r="G21" s="14" t="str">
        <x:v>财人中心</x:v>
      </x:c>
      <x:c r="H21" s="14" t="str">
        <x:v>中心管理</x:v>
      </x:c>
      <x:c r="I21" s="14" t="str"/>
      <x:c r="J21" s="14" t="str">
        <x:v>中心管理</x:v>
      </x:c>
      <x:c r="K21" s="14" t="str">
        <x:v>管理岗位</x:v>
      </x:c>
      <x:c r="L21" s="12" t="str">
        <x:v>财人中心</x:v>
      </x:c>
      <x:c r="M21" s="13" t="str">
        <x:v>股东会 &gt; 董事长直管独立单位 &gt; 财人中心 &gt; 中心管理</x:v>
      </x:c>
      <x:c r="N21" s="15" t="str">
        <x:v>已列人员</x:v>
      </x:c>
      <x:c r="O21" s="15" t="n">
        <x:f>COUNTIF('任职明细'!$G$5:$G$229,M21)</x:f>
        <x:v>3</x:v>
      </x:c>
      <x:c r="P21" s="13" t="str"/>
    </x:row>
    <x:row r="22" ht="15" hidden="0" customHeight="1">
      <x:c r="A22" s="14" t="n">
        <x:v>18</x:v>
      </x:c>
      <x:c r="B22" s="14" t="str">
        <x:v>ORG018</x:v>
      </x:c>
      <x:c r="C22" s="14" t="str">
        <x:v>ORG016</x:v>
      </x:c>
      <x:c r="D22" s="14" t="n">
        <x:v>3</x:v>
      </x:c>
      <x:c r="E22" s="14" t="str">
        <x:v>董事长直管独立单位</x:v>
      </x:c>
      <x:c r="F22" s="14" t="str">
        <x:v>董事长直管独立单位</x:v>
      </x:c>
      <x:c r="G22" s="14" t="str">
        <x:v>财人中心</x:v>
      </x:c>
      <x:c r="H22" s="14" t="str">
        <x:v>财务部</x:v>
      </x:c>
      <x:c r="I22" s="14" t="str"/>
      <x:c r="J22" s="14" t="str">
        <x:v>财务部</x:v>
      </x:c>
      <x:c r="K22" s="14" t="str">
        <x:v>部门</x:v>
      </x:c>
      <x:c r="L22" s="12" t="str">
        <x:v>财人中心</x:v>
      </x:c>
      <x:c r="M22" s="13" t="str">
        <x:v>股东会 &gt; 董事长直管独立单位 &gt; 财人中心 &gt; 财务部</x:v>
      </x:c>
      <x:c r="N22" s="15" t="str">
        <x:v>已列人员</x:v>
      </x:c>
      <x:c r="O22" s="15" t="n">
        <x:f>COUNTIF('任职明细'!$G$5:$G$229,M22)</x:f>
        <x:v>16</x:v>
      </x:c>
      <x:c r="P22" s="13" t="str"/>
    </x:row>
    <x:row r="23" ht="15" hidden="0" customHeight="1">
      <x:c r="A23" s="14" t="n">
        <x:v>19</x:v>
      </x:c>
      <x:c r="B23" s="14" t="str">
        <x:v>ORG019</x:v>
      </x:c>
      <x:c r="C23" s="14" t="str">
        <x:v>ORG016</x:v>
      </x:c>
      <x:c r="D23" s="14" t="n">
        <x:v>3</x:v>
      </x:c>
      <x:c r="E23" s="14" t="str">
        <x:v>董事长直管独立单位</x:v>
      </x:c>
      <x:c r="F23" s="14" t="str">
        <x:v>董事长直管独立单位</x:v>
      </x:c>
      <x:c r="G23" s="14" t="str">
        <x:v>财人中心</x:v>
      </x:c>
      <x:c r="H23" s="14" t="str">
        <x:v>档案管理部</x:v>
      </x:c>
      <x:c r="I23" s="14" t="str"/>
      <x:c r="J23" s="14" t="str">
        <x:v>档案管理部</x:v>
      </x:c>
      <x:c r="K23" s="14" t="str">
        <x:v>部门</x:v>
      </x:c>
      <x:c r="L23" s="12" t="str">
        <x:v>财人中心</x:v>
      </x:c>
      <x:c r="M23" s="13" t="str">
        <x:v>股东会 &gt; 董事长直管独立单位 &gt; 财人中心 &gt; 档案管理部</x:v>
      </x:c>
      <x:c r="N23" s="15" t="str">
        <x:v>已列人员</x:v>
      </x:c>
      <x:c r="O23" s="15" t="n">
        <x:f>COUNTIF('任职明细'!$G$5:$G$229,M23)</x:f>
        <x:v>1</x:v>
      </x:c>
      <x:c r="P23" s="13" t="str"/>
    </x:row>
    <x:row r="24" ht="15" hidden="0" customHeight="1">
      <x:c r="A24" s="14" t="n">
        <x:v>20</x:v>
      </x:c>
      <x:c r="B24" s="14" t="str">
        <x:v>ORG020</x:v>
      </x:c>
      <x:c r="C24" s="14" t="str">
        <x:v>ORG016</x:v>
      </x:c>
      <x:c r="D24" s="14" t="n">
        <x:v>3</x:v>
      </x:c>
      <x:c r="E24" s="14" t="str">
        <x:v>董事长直管独立单位</x:v>
      </x:c>
      <x:c r="F24" s="14" t="str">
        <x:v>董事长直管独立单位</x:v>
      </x:c>
      <x:c r="G24" s="14" t="str">
        <x:v>财人中心</x:v>
      </x:c>
      <x:c r="H24" s="14" t="str">
        <x:v>采购部</x:v>
      </x:c>
      <x:c r="I24" s="14" t="str"/>
      <x:c r="J24" s="14" t="str">
        <x:v>采购部</x:v>
      </x:c>
      <x:c r="K24" s="14" t="str">
        <x:v>部门</x:v>
      </x:c>
      <x:c r="L24" s="12" t="str">
        <x:v>财人中心</x:v>
      </x:c>
      <x:c r="M24" s="13" t="str">
        <x:v>股东会 &gt; 董事长直管独立单位 &gt; 财人中心 &gt; 采购部</x:v>
      </x:c>
      <x:c r="N24" s="15" t="str">
        <x:v>已列人员</x:v>
      </x:c>
      <x:c r="O24" s="15" t="n">
        <x:f>COUNTIF('任职明细'!$G$5:$G$229,M24)</x:f>
        <x:v>1</x:v>
      </x:c>
      <x:c r="P24" s="13" t="str"/>
    </x:row>
    <x:row r="25" ht="15" hidden="0" customHeight="1">
      <x:c r="A25" s="14" t="n">
        <x:v>21</x:v>
      </x:c>
      <x:c r="B25" s="14" t="str">
        <x:v>ORG021</x:v>
      </x:c>
      <x:c r="C25" s="14" t="str">
        <x:v>ORG016</x:v>
      </x:c>
      <x:c r="D25" s="14" t="n">
        <x:v>3</x:v>
      </x:c>
      <x:c r="E25" s="14" t="str">
        <x:v>董事长直管独立单位</x:v>
      </x:c>
      <x:c r="F25" s="14" t="str">
        <x:v>董事长直管独立单位</x:v>
      </x:c>
      <x:c r="G25" s="14" t="str">
        <x:v>财人中心</x:v>
      </x:c>
      <x:c r="H25" s="14" t="str">
        <x:v>人力资源部</x:v>
      </x:c>
      <x:c r="I25" s="14" t="str"/>
      <x:c r="J25" s="14" t="str">
        <x:v>人力资源部</x:v>
      </x:c>
      <x:c r="K25" s="14" t="str">
        <x:v>部门</x:v>
      </x:c>
      <x:c r="L25" s="12" t="str">
        <x:v>财人中心</x:v>
      </x:c>
      <x:c r="M25" s="13" t="str">
        <x:v>股东会 &gt; 董事长直管独立单位 &gt; 财人中心 &gt; 人力资源部</x:v>
      </x:c>
      <x:c r="N25" s="15" t="str">
        <x:v>已列人员</x:v>
      </x:c>
      <x:c r="O25" s="15" t="n">
        <x:f>COUNTIF('任职明细'!$G$5:$G$229,M25)</x:f>
        <x:v>2</x:v>
      </x:c>
      <x:c r="P25" s="13" t="str"/>
    </x:row>
    <x:row r="26" ht="15" hidden="0" customHeight="1">
      <x:c r="A26" s="14" t="n">
        <x:v>22</x:v>
      </x:c>
      <x:c r="B26" s="14" t="str">
        <x:v>ORG022</x:v>
      </x:c>
      <x:c r="C26" s="14" t="str">
        <x:v>ORG016</x:v>
      </x:c>
      <x:c r="D26" s="14" t="n">
        <x:v>3</x:v>
      </x:c>
      <x:c r="E26" s="14" t="str">
        <x:v>董事长直管独立单位</x:v>
      </x:c>
      <x:c r="F26" s="14" t="str">
        <x:v>董事长直管独立单位</x:v>
      </x:c>
      <x:c r="G26" s="14" t="str">
        <x:v>财人中心</x:v>
      </x:c>
      <x:c r="H26" s="14" t="str">
        <x:v>票务服务部</x:v>
      </x:c>
      <x:c r="I26" s="14" t="str"/>
      <x:c r="J26" s="14" t="str">
        <x:v>票务服务部</x:v>
      </x:c>
      <x:c r="K26" s="14" t="str">
        <x:v>部门</x:v>
      </x:c>
      <x:c r="L26" s="12" t="str">
        <x:v>财人中心</x:v>
      </x:c>
      <x:c r="M26" s="13" t="str">
        <x:v>股东会 &gt; 董事长直管独立单位 &gt; 财人中心 &gt; 票务服务部</x:v>
      </x:c>
      <x:c r="N26" s="15" t="str">
        <x:v>已列人员</x:v>
      </x:c>
      <x:c r="O26" s="15" t="n">
        <x:f>COUNTIF('任职明细'!$G$5:$G$229,M26)</x:f>
        <x:v>4</x:v>
      </x:c>
      <x:c r="P26" s="13" t="str"/>
    </x:row>
    <x:row r="27" ht="15" hidden="0" customHeight="1">
      <x:c r="A27" s="14" t="n">
        <x:v>23</x:v>
      </x:c>
      <x:c r="B27" s="14" t="str">
        <x:v>ORG023</x:v>
      </x:c>
      <x:c r="C27" s="14" t="str">
        <x:v>ORG009</x:v>
      </x:c>
      <x:c r="D27" s="14" t="n">
        <x:v>2</x:v>
      </x:c>
      <x:c r="E27" s="14" t="str">
        <x:v>董事长直管独立单位</x:v>
      </x:c>
      <x:c r="F27" s="14" t="str">
        <x:v>董事长直管独立单位</x:v>
      </x:c>
      <x:c r="G27" s="14" t="str">
        <x:v>社会资源中心</x:v>
      </x:c>
      <x:c r="H27" s="14" t="str"/>
      <x:c r="I27" s="14" t="str"/>
      <x:c r="J27" s="14" t="str">
        <x:v>社会资源中心</x:v>
      </x:c>
      <x:c r="K27" s="14" t="str">
        <x:v>中心</x:v>
      </x:c>
      <x:c r="L27" s="12" t="str">
        <x:v>董事长直管独立单位</x:v>
      </x:c>
      <x:c r="M27" s="13" t="str">
        <x:v>股东会 &gt; 董事长直管独立单位 &gt; 社会资源中心</x:v>
      </x:c>
      <x:c r="N27" s="15" t="str">
        <x:v>未单列人员</x:v>
      </x:c>
      <x:c r="O27" s="15" t="n">
        <x:f>COUNTIF('任职明细'!$G$5:$G$229,M27)</x:f>
        <x:v>0</x:v>
      </x:c>
      <x:c r="P27" s="13" t="str"/>
    </x:row>
    <x:row r="28" ht="26.399999618530273" hidden="0" customHeight="1">
      <x:c r="A28" s="14" t="n">
        <x:v>24</x:v>
      </x:c>
      <x:c r="B28" s="14" t="str">
        <x:v>ORG024</x:v>
      </x:c>
      <x:c r="C28" s="14" t="str">
        <x:v>ORG023</x:v>
      </x:c>
      <x:c r="D28" s="14" t="n">
        <x:v>3</x:v>
      </x:c>
      <x:c r="E28" s="14" t="str">
        <x:v>董事长直管独立单位</x:v>
      </x:c>
      <x:c r="F28" s="14" t="str">
        <x:v>董事长直管独立单位</x:v>
      </x:c>
      <x:c r="G28" s="14" t="str">
        <x:v>社会资源中心</x:v>
      </x:c>
      <x:c r="H28" s="14" t="str">
        <x:v>范蠡研究会</x:v>
      </x:c>
      <x:c r="I28" s="14" t="str"/>
      <x:c r="J28" s="14" t="str">
        <x:v>范蠡研究会</x:v>
      </x:c>
      <x:c r="K28" s="14" t="str">
        <x:v>协会/机构</x:v>
      </x:c>
      <x:c r="L28" s="12" t="str">
        <x:v>社会资源中心</x:v>
      </x:c>
      <x:c r="M28" s="13" t="str">
        <x:v>股东会 &gt; 董事长直管独立单位 &gt; 社会资源中心 &gt; 范蠡研究会</x:v>
      </x:c>
      <x:c r="N28" s="15" t="str">
        <x:v>明确无人员</x:v>
      </x:c>
      <x:c r="O28" s="15" t="n">
        <x:f>COUNTIF('任职明细'!$G$5:$G$229,M28)</x:f>
        <x:v>0</x:v>
      </x:c>
      <x:c r="P28" s="13" t="str">
        <x:v>原名单标注“暂无人员”</x:v>
      </x:c>
    </x:row>
    <x:row r="29" ht="15" hidden="0" customHeight="1">
      <x:c r="A29" s="14" t="n">
        <x:v>25</x:v>
      </x:c>
      <x:c r="B29" s="14" t="str">
        <x:v>ORG025</x:v>
      </x:c>
      <x:c r="C29" s="14" t="str">
        <x:v>ORG009</x:v>
      </x:c>
      <x:c r="D29" s="14" t="n">
        <x:v>2</x:v>
      </x:c>
      <x:c r="E29" s="14" t="str">
        <x:v>董事长直管独立单位</x:v>
      </x:c>
      <x:c r="F29" s="14" t="str">
        <x:v>董事长直管独立单位</x:v>
      </x:c>
      <x:c r="G29" s="14" t="str">
        <x:v>海外联络中心</x:v>
      </x:c>
      <x:c r="H29" s="14" t="str"/>
      <x:c r="I29" s="14" t="str"/>
      <x:c r="J29" s="14" t="str">
        <x:v>海外联络中心</x:v>
      </x:c>
      <x:c r="K29" s="14" t="str">
        <x:v>中心</x:v>
      </x:c>
      <x:c r="L29" s="12" t="str">
        <x:v>董事长直管独立单位</x:v>
      </x:c>
      <x:c r="M29" s="13" t="str">
        <x:v>股东会 &gt; 董事长直管独立单位 &gt; 海外联络中心</x:v>
      </x:c>
      <x:c r="N29" s="15" t="str">
        <x:v>明确无人员</x:v>
      </x:c>
      <x:c r="O29" s="15" t="n">
        <x:f>COUNTIF('任职明细'!$G$5:$G$229,M29)</x:f>
        <x:v>0</x:v>
      </x:c>
      <x:c r="P29" s="13" t="str">
        <x:v>原名单标注“暂无人员”</x:v>
      </x:c>
    </x:row>
    <x:row r="30" ht="15" hidden="0" customHeight="1">
      <x:c r="A30" s="14" t="n">
        <x:v>26</x:v>
      </x:c>
      <x:c r="B30" s="14" t="str">
        <x:v>ORG026</x:v>
      </x:c>
      <x:c r="C30" s="14" t="str">
        <x:v>ORG009</x:v>
      </x:c>
      <x:c r="D30" s="14" t="n">
        <x:v>2</x:v>
      </x:c>
      <x:c r="E30" s="14" t="str">
        <x:v>董事长直管独立单位</x:v>
      </x:c>
      <x:c r="F30" s="14" t="str">
        <x:v>董事长直管独立单位</x:v>
      </x:c>
      <x:c r="G30" s="14" t="str">
        <x:v>市场中心</x:v>
      </x:c>
      <x:c r="H30" s="14" t="str"/>
      <x:c r="I30" s="14" t="str"/>
      <x:c r="J30" s="14" t="str">
        <x:v>市场中心</x:v>
      </x:c>
      <x:c r="K30" s="14" t="str">
        <x:v>中心</x:v>
      </x:c>
      <x:c r="L30" s="12" t="str">
        <x:v>董事长直管独立单位</x:v>
      </x:c>
      <x:c r="M30" s="13" t="str">
        <x:v>股东会 &gt; 董事长直管独立单位 &gt; 市场中心</x:v>
      </x:c>
      <x:c r="N30" s="15" t="str">
        <x:v>未单列人员</x:v>
      </x:c>
      <x:c r="O30" s="15" t="n">
        <x:f>COUNTIF('任职明细'!$G$5:$G$229,M30)</x:f>
        <x:v>0</x:v>
      </x:c>
      <x:c r="P30" s="13" t="str"/>
    </x:row>
    <x:row r="31" ht="15" hidden="0" customHeight="1">
      <x:c r="A31" s="14" t="n">
        <x:v>27</x:v>
      </x:c>
      <x:c r="B31" s="14" t="str">
        <x:v>ORG027</x:v>
      </x:c>
      <x:c r="C31" s="14" t="str">
        <x:v>ORG026</x:v>
      </x:c>
      <x:c r="D31" s="14" t="n">
        <x:v>3</x:v>
      </x:c>
      <x:c r="E31" s="14" t="str">
        <x:v>董事长直管独立单位</x:v>
      </x:c>
      <x:c r="F31" s="14" t="str">
        <x:v>董事长直管独立单位</x:v>
      </x:c>
      <x:c r="G31" s="14" t="str">
        <x:v>市场中心</x:v>
      </x:c>
      <x:c r="H31" s="14" t="str">
        <x:v>市场部</x:v>
      </x:c>
      <x:c r="I31" s="14" t="str"/>
      <x:c r="J31" s="14" t="str">
        <x:v>市场部</x:v>
      </x:c>
      <x:c r="K31" s="14" t="str">
        <x:v>部门</x:v>
      </x:c>
      <x:c r="L31" s="12" t="str">
        <x:v>市场中心</x:v>
      </x:c>
      <x:c r="M31" s="13" t="str">
        <x:v>股东会 &gt; 董事长直管独立单位 &gt; 市场中心 &gt; 市场部</x:v>
      </x:c>
      <x:c r="N31" s="15" t="str">
        <x:v>明确无人员</x:v>
      </x:c>
      <x:c r="O31" s="15" t="n">
        <x:f>COUNTIF('任职明细'!$G$5:$G$229,M31)</x:f>
        <x:v>0</x:v>
      </x:c>
      <x:c r="P31" s="13" t="str">
        <x:v>原名单标注“暂无人员”</x:v>
      </x:c>
    </x:row>
    <x:row r="32" ht="15" hidden="0" customHeight="1">
      <x:c r="A32" s="14" t="n">
        <x:v>28</x:v>
      </x:c>
      <x:c r="B32" s="14" t="str">
        <x:v>ORG028</x:v>
      </x:c>
      <x:c r="C32" s="14" t="str">
        <x:v>ORG026</x:v>
      </x:c>
      <x:c r="D32" s="14" t="n">
        <x:v>3</x:v>
      </x:c>
      <x:c r="E32" s="14" t="str">
        <x:v>董事长直管独立单位</x:v>
      </x:c>
      <x:c r="F32" s="14" t="str">
        <x:v>董事长直管独立单位</x:v>
      </x:c>
      <x:c r="G32" s="14" t="str">
        <x:v>市场中心</x:v>
      </x:c>
      <x:c r="H32" s="14" t="str">
        <x:v>教育部</x:v>
      </x:c>
      <x:c r="I32" s="14" t="str"/>
      <x:c r="J32" s="14" t="str">
        <x:v>教育部</x:v>
      </x:c>
      <x:c r="K32" s="14" t="str">
        <x:v>部门</x:v>
      </x:c>
      <x:c r="L32" s="12" t="str">
        <x:v>市场中心</x:v>
      </x:c>
      <x:c r="M32" s="13" t="str">
        <x:v>股东会 &gt; 董事长直管独立单位 &gt; 市场中心 &gt; 教育部</x:v>
      </x:c>
      <x:c r="N32" s="15" t="str">
        <x:v>已列人员</x:v>
      </x:c>
      <x:c r="O32" s="15" t="n">
        <x:f>COUNTIF('任职明细'!$G$5:$G$229,M32)</x:f>
        <x:v>7</x:v>
      </x:c>
      <x:c r="P32" s="13" t="str"/>
    </x:row>
    <x:row r="33" ht="15" hidden="0" customHeight="1">
      <x:c r="A33" s="14" t="n">
        <x:v>29</x:v>
      </x:c>
      <x:c r="B33" s="14" t="str">
        <x:v>ORG029</x:v>
      </x:c>
      <x:c r="C33" s="14" t="str">
        <x:v>ORG009</x:v>
      </x:c>
      <x:c r="D33" s="14" t="n">
        <x:v>2</x:v>
      </x:c>
      <x:c r="E33" s="14" t="str">
        <x:v>董事长直管独立单位</x:v>
      </x:c>
      <x:c r="F33" s="14" t="str">
        <x:v>董事长直管独立单位</x:v>
      </x:c>
      <x:c r="G33" s="14" t="str">
        <x:v>文化中心</x:v>
      </x:c>
      <x:c r="H33" s="14" t="str"/>
      <x:c r="I33" s="14" t="str"/>
      <x:c r="J33" s="14" t="str">
        <x:v>文化中心</x:v>
      </x:c>
      <x:c r="K33" s="14" t="str">
        <x:v>中心</x:v>
      </x:c>
      <x:c r="L33" s="12" t="str">
        <x:v>董事长直管独立单位</x:v>
      </x:c>
      <x:c r="M33" s="13" t="str">
        <x:v>股东会 &gt; 董事长直管独立单位 &gt; 文化中心</x:v>
      </x:c>
      <x:c r="N33" s="15" t="str">
        <x:v>已列人员</x:v>
      </x:c>
      <x:c r="O33" s="15" t="n">
        <x:f>COUNTIF('任职明细'!$G$5:$G$229,M33)</x:f>
        <x:v>2</x:v>
      </x:c>
      <x:c r="P33" s="13" t="str"/>
    </x:row>
    <x:row r="34" ht="15" hidden="0" customHeight="1">
      <x:c r="A34" s="14" t="n">
        <x:v>30</x:v>
      </x:c>
      <x:c r="B34" s="14" t="str">
        <x:v>ORG030</x:v>
      </x:c>
      <x:c r="C34" s="14" t="str">
        <x:v>ORG029</x:v>
      </x:c>
      <x:c r="D34" s="14" t="n">
        <x:v>3</x:v>
      </x:c>
      <x:c r="E34" s="14" t="str">
        <x:v>董事长直管独立单位</x:v>
      </x:c>
      <x:c r="F34" s="14" t="str">
        <x:v>董事长直管独立单位</x:v>
      </x:c>
      <x:c r="G34" s="14" t="str">
        <x:v>文化中心</x:v>
      </x:c>
      <x:c r="H34" s="14" t="str">
        <x:v>商学院</x:v>
      </x:c>
      <x:c r="I34" s="14" t="str"/>
      <x:c r="J34" s="14" t="str">
        <x:v>商学院</x:v>
      </x:c>
      <x:c r="K34" s="14" t="str">
        <x:v>学院</x:v>
      </x:c>
      <x:c r="L34" s="12" t="str">
        <x:v>文化中心</x:v>
      </x:c>
      <x:c r="M34" s="13" t="str">
        <x:v>股东会 &gt; 董事长直管独立单位 &gt; 文化中心 &gt; 商学院</x:v>
      </x:c>
      <x:c r="N34" s="15" t="str">
        <x:v>已列人员</x:v>
      </x:c>
      <x:c r="O34" s="15" t="n">
        <x:f>COUNTIF('任职明细'!$G$5:$G$229,M34)</x:f>
        <x:v>2</x:v>
      </x:c>
      <x:c r="P34" s="13" t="str"/>
    </x:row>
    <x:row r="35" ht="15" hidden="0" customHeight="1">
      <x:c r="A35" s="14" t="n">
        <x:v>31</x:v>
      </x:c>
      <x:c r="B35" s="14" t="str">
        <x:v>ORG031</x:v>
      </x:c>
      <x:c r="C35" s="14" t="str">
        <x:v>ORG029</x:v>
      </x:c>
      <x:c r="D35" s="14" t="n">
        <x:v>3</x:v>
      </x:c>
      <x:c r="E35" s="14" t="str">
        <x:v>董事长直管独立单位</x:v>
      </x:c>
      <x:c r="F35" s="14" t="str">
        <x:v>董事长直管独立单位</x:v>
      </x:c>
      <x:c r="G35" s="14" t="str">
        <x:v>文化中心</x:v>
      </x:c>
      <x:c r="H35" s="14" t="str">
        <x:v>传统文化部</x:v>
      </x:c>
      <x:c r="I35" s="14" t="str"/>
      <x:c r="J35" s="14" t="str">
        <x:v>传统文化部</x:v>
      </x:c>
      <x:c r="K35" s="14" t="str">
        <x:v>部门</x:v>
      </x:c>
      <x:c r="L35" s="12" t="str">
        <x:v>文化中心</x:v>
      </x:c>
      <x:c r="M35" s="13" t="str">
        <x:v>股东会 &gt; 董事长直管独立单位 &gt; 文化中心 &gt; 传统文化部</x:v>
      </x:c>
      <x:c r="N35" s="15" t="str">
        <x:v>明确无人员</x:v>
      </x:c>
      <x:c r="O35" s="15" t="n">
        <x:f>COUNTIF('任职明细'!$G$5:$G$229,M35)</x:f>
        <x:v>0</x:v>
      </x:c>
      <x:c r="P35" s="13" t="str">
        <x:v>原名单标注“无人员”</x:v>
      </x:c>
    </x:row>
    <x:row r="36" ht="15" hidden="0" customHeight="1">
      <x:c r="A36" s="14" t="n">
        <x:v>32</x:v>
      </x:c>
      <x:c r="B36" s="14" t="str">
        <x:v>ORG032</x:v>
      </x:c>
      <x:c r="C36" s="14" t="str">
        <x:v>ORG001</x:v>
      </x:c>
      <x:c r="D36" s="14" t="n">
        <x:v>1</x:v>
      </x:c>
      <x:c r="E36" s="14" t="str">
        <x:v>总裁线</x:v>
      </x:c>
      <x:c r="F36" s="14" t="str">
        <x:v>总裁线</x:v>
      </x:c>
      <x:c r="G36" s="14" t="str"/>
      <x:c r="H36" s="14" t="str"/>
      <x:c r="I36" s="14" t="str"/>
      <x:c r="J36" s="14" t="str">
        <x:v>总裁线</x:v>
      </x:c>
      <x:c r="K36" s="14" t="str">
        <x:v>管理线</x:v>
      </x:c>
      <x:c r="L36" s="12" t="str">
        <x:v>股东会</x:v>
      </x:c>
      <x:c r="M36" s="13" t="str">
        <x:v>股东会 &gt; 总裁线</x:v>
      </x:c>
      <x:c r="N36" s="15" t="str">
        <x:v>未单列人员</x:v>
      </x:c>
      <x:c r="O36" s="15" t="n">
        <x:f>COUNTIF('任职明细'!$G$5:$G$229,M36)</x:f>
        <x:v>0</x:v>
      </x:c>
      <x:c r="P36" s="13" t="str">
        <x:v>总裁→常务副总裁管辖</x:v>
      </x:c>
    </x:row>
    <x:row r="37" ht="15" hidden="0" customHeight="1">
      <x:c r="A37" s="14" t="n">
        <x:v>33</x:v>
      </x:c>
      <x:c r="B37" s="14" t="str">
        <x:v>ORG033</x:v>
      </x:c>
      <x:c r="C37" s="14" t="str">
        <x:v>ORG032</x:v>
      </x:c>
      <x:c r="D37" s="14" t="n">
        <x:v>2</x:v>
      </x:c>
      <x:c r="E37" s="14" t="str">
        <x:v>总裁线</x:v>
      </x:c>
      <x:c r="F37" s="14" t="str">
        <x:v>总裁线</x:v>
      </x:c>
      <x:c r="G37" s="14" t="str">
        <x:v>总裁办</x:v>
      </x:c>
      <x:c r="H37" s="14" t="str"/>
      <x:c r="I37" s="14" t="str"/>
      <x:c r="J37" s="14" t="str">
        <x:v>总裁办</x:v>
      </x:c>
      <x:c r="K37" s="14" t="str">
        <x:v>办公室</x:v>
      </x:c>
      <x:c r="L37" s="12" t="str">
        <x:v>总裁线</x:v>
      </x:c>
      <x:c r="M37" s="13" t="str">
        <x:v>股东会 &gt; 总裁线 &gt; 总裁办</x:v>
      </x:c>
      <x:c r="N37" s="15" t="str">
        <x:v>已列人员</x:v>
      </x:c>
      <x:c r="O37" s="15" t="n">
        <x:f>COUNTIF('任职明细'!$G$5:$G$229,M37)</x:f>
        <x:v>4</x:v>
      </x:c>
      <x:c r="P37" s="13" t="str"/>
    </x:row>
    <x:row r="38" ht="15" hidden="0" customHeight="1">
      <x:c r="A38" s="14" t="n">
        <x:v>34</x:v>
      </x:c>
      <x:c r="B38" s="14" t="str">
        <x:v>ORG034</x:v>
      </x:c>
      <x:c r="C38" s="14" t="str">
        <x:v>ORG032</x:v>
      </x:c>
      <x:c r="D38" s="14" t="n">
        <x:v>2</x:v>
      </x:c>
      <x:c r="E38" s="14" t="str">
        <x:v>总裁线</x:v>
      </x:c>
      <x:c r="F38" s="14" t="str">
        <x:v>总裁线</x:v>
      </x:c>
      <x:c r="G38" s="14" t="str">
        <x:v>行政中心</x:v>
      </x:c>
      <x:c r="H38" s="14" t="str"/>
      <x:c r="I38" s="14" t="str"/>
      <x:c r="J38" s="14" t="str">
        <x:v>行政中心</x:v>
      </x:c>
      <x:c r="K38" s="14" t="str">
        <x:v>中心</x:v>
      </x:c>
      <x:c r="L38" s="12" t="str">
        <x:v>总裁线</x:v>
      </x:c>
      <x:c r="M38" s="13" t="str">
        <x:v>股东会 &gt; 总裁线 &gt; 行政中心</x:v>
      </x:c>
      <x:c r="N38" s="15" t="str">
        <x:v>未单列人员</x:v>
      </x:c>
      <x:c r="O38" s="15" t="n">
        <x:f>COUNTIF('任职明细'!$G$5:$G$229,M38)</x:f>
        <x:v>0</x:v>
      </x:c>
      <x:c r="P38" s="13" t="str"/>
    </x:row>
    <x:row r="39" ht="15" hidden="0" customHeight="1">
      <x:c r="A39" s="14" t="n">
        <x:v>35</x:v>
      </x:c>
      <x:c r="B39" s="14" t="str">
        <x:v>ORG035</x:v>
      </x:c>
      <x:c r="C39" s="14" t="str">
        <x:v>ORG034</x:v>
      </x:c>
      <x:c r="D39" s="14" t="n">
        <x:v>3</x:v>
      </x:c>
      <x:c r="E39" s="14" t="str">
        <x:v>总裁线</x:v>
      </x:c>
      <x:c r="F39" s="14" t="str">
        <x:v>总裁线</x:v>
      </x:c>
      <x:c r="G39" s="14" t="str">
        <x:v>行政中心</x:v>
      </x:c>
      <x:c r="H39" s="14" t="str">
        <x:v>管理人员</x:v>
      </x:c>
      <x:c r="I39" s="14" t="str"/>
      <x:c r="J39" s="14" t="str">
        <x:v>管理人员</x:v>
      </x:c>
      <x:c r="K39" s="14" t="str">
        <x:v>管理岗位</x:v>
      </x:c>
      <x:c r="L39" s="12" t="str">
        <x:v>行政中心</x:v>
      </x:c>
      <x:c r="M39" s="13" t="str">
        <x:v>股东会 &gt; 总裁线 &gt; 行政中心 &gt; 管理人员</x:v>
      </x:c>
      <x:c r="N39" s="15" t="str">
        <x:v>已列人员</x:v>
      </x:c>
      <x:c r="O39" s="15" t="n">
        <x:f>COUNTIF('任职明细'!$G$5:$G$229,M39)</x:f>
        <x:v>1</x:v>
      </x:c>
      <x:c r="P39" s="13" t="str"/>
    </x:row>
    <x:row r="40" ht="15" hidden="0" customHeight="1">
      <x:c r="A40" s="14" t="n">
        <x:v>36</x:v>
      </x:c>
      <x:c r="B40" s="14" t="str">
        <x:v>ORG036</x:v>
      </x:c>
      <x:c r="C40" s="14" t="str">
        <x:v>ORG034</x:v>
      </x:c>
      <x:c r="D40" s="14" t="n">
        <x:v>3</x:v>
      </x:c>
      <x:c r="E40" s="14" t="str">
        <x:v>总裁线</x:v>
      </x:c>
      <x:c r="F40" s="14" t="str">
        <x:v>总裁线</x:v>
      </x:c>
      <x:c r="G40" s="14" t="str">
        <x:v>行政中心</x:v>
      </x:c>
      <x:c r="H40" s="14" t="str">
        <x:v>办公室</x:v>
      </x:c>
      <x:c r="I40" s="14" t="str"/>
      <x:c r="J40" s="14" t="str">
        <x:v>办公室</x:v>
      </x:c>
      <x:c r="K40" s="14" t="str">
        <x:v>办公室</x:v>
      </x:c>
      <x:c r="L40" s="12" t="str">
        <x:v>行政中心</x:v>
      </x:c>
      <x:c r="M40" s="13" t="str">
        <x:v>股东会 &gt; 总裁线 &gt; 行政中心 &gt; 办公室</x:v>
      </x:c>
      <x:c r="N40" s="15" t="str">
        <x:v>已列人员</x:v>
      </x:c>
      <x:c r="O40" s="15" t="n">
        <x:f>COUNTIF('任职明细'!$G$5:$G$229,M40)</x:f>
        <x:v>2</x:v>
      </x:c>
      <x:c r="P40" s="13" t="str"/>
    </x:row>
    <x:row r="41" ht="15" hidden="0" customHeight="1">
      <x:c r="A41" s="14" t="n">
        <x:v>37</x:v>
      </x:c>
      <x:c r="B41" s="14" t="str">
        <x:v>ORG037</x:v>
      </x:c>
      <x:c r="C41" s="14" t="str">
        <x:v>ORG034</x:v>
      </x:c>
      <x:c r="D41" s="14" t="n">
        <x:v>3</x:v>
      </x:c>
      <x:c r="E41" s="14" t="str">
        <x:v>总裁线</x:v>
      </x:c>
      <x:c r="F41" s="14" t="str">
        <x:v>总裁线</x:v>
      </x:c>
      <x:c r="G41" s="14" t="str">
        <x:v>行政中心</x:v>
      </x:c>
      <x:c r="H41" s="14" t="str">
        <x:v>资产部</x:v>
      </x:c>
      <x:c r="I41" s="14" t="str"/>
      <x:c r="J41" s="14" t="str">
        <x:v>资产部</x:v>
      </x:c>
      <x:c r="K41" s="14" t="str">
        <x:v>部门</x:v>
      </x:c>
      <x:c r="L41" s="12" t="str">
        <x:v>行政中心</x:v>
      </x:c>
      <x:c r="M41" s="13" t="str">
        <x:v>股东会 &gt; 总裁线 &gt; 行政中心 &gt; 资产部</x:v>
      </x:c>
      <x:c r="N41" s="15" t="str">
        <x:v>已列人员</x:v>
      </x:c>
      <x:c r="O41" s="15" t="n">
        <x:f>COUNTIF('任职明细'!$G$5:$G$229,M41)</x:f>
        <x:v>2</x:v>
      </x:c>
      <x:c r="P41" s="13" t="str"/>
    </x:row>
    <x:row r="42" ht="15" hidden="0" customHeight="1">
      <x:c r="A42" s="14" t="n">
        <x:v>38</x:v>
      </x:c>
      <x:c r="B42" s="14" t="str">
        <x:v>ORG038</x:v>
      </x:c>
      <x:c r="C42" s="14" t="str">
        <x:v>ORG034</x:v>
      </x:c>
      <x:c r="D42" s="14" t="n">
        <x:v>3</x:v>
      </x:c>
      <x:c r="E42" s="14" t="str">
        <x:v>总裁线</x:v>
      </x:c>
      <x:c r="F42" s="14" t="str">
        <x:v>总裁线</x:v>
      </x:c>
      <x:c r="G42" s="14" t="str">
        <x:v>行政中心</x:v>
      </x:c>
      <x:c r="H42" s="14" t="str">
        <x:v>后勤部</x:v>
      </x:c>
      <x:c r="I42" s="14" t="str"/>
      <x:c r="J42" s="14" t="str">
        <x:v>后勤部</x:v>
      </x:c>
      <x:c r="K42" s="14" t="str">
        <x:v>部门</x:v>
      </x:c>
      <x:c r="L42" s="12" t="str">
        <x:v>行政中心</x:v>
      </x:c>
      <x:c r="M42" s="13" t="str">
        <x:v>股东会 &gt; 总裁线 &gt; 行政中心 &gt; 后勤部</x:v>
      </x:c>
      <x:c r="N42" s="15" t="str">
        <x:v>已列人员</x:v>
      </x:c>
      <x:c r="O42" s="15" t="n">
        <x:f>COUNTIF('任职明细'!$G$5:$G$229,M42)</x:f>
        <x:v>9</x:v>
      </x:c>
      <x:c r="P42" s="13" t="str"/>
    </x:row>
    <x:row r="43" ht="15" hidden="0" customHeight="1">
      <x:c r="A43" s="14" t="n">
        <x:v>39</x:v>
      </x:c>
      <x:c r="B43" s="14" t="str">
        <x:v>ORG039</x:v>
      </x:c>
      <x:c r="C43" s="14" t="str">
        <x:v>ORG034</x:v>
      </x:c>
      <x:c r="D43" s="14" t="n">
        <x:v>3</x:v>
      </x:c>
      <x:c r="E43" s="14" t="str">
        <x:v>总裁线</x:v>
      </x:c>
      <x:c r="F43" s="14" t="str">
        <x:v>总裁线</x:v>
      </x:c>
      <x:c r="G43" s="14" t="str">
        <x:v>行政中心</x:v>
      </x:c>
      <x:c r="H43" s="14" t="str">
        <x:v>餐饮部</x:v>
      </x:c>
      <x:c r="I43" s="14" t="str"/>
      <x:c r="J43" s="14" t="str">
        <x:v>餐饮部</x:v>
      </x:c>
      <x:c r="K43" s="14" t="str">
        <x:v>部门</x:v>
      </x:c>
      <x:c r="L43" s="12" t="str">
        <x:v>行政中心</x:v>
      </x:c>
      <x:c r="M43" s="13" t="str">
        <x:v>股东会 &gt; 总裁线 &gt; 行政中心 &gt; 餐饮部</x:v>
      </x:c>
      <x:c r="N43" s="15" t="str">
        <x:v>已列人员</x:v>
      </x:c>
      <x:c r="O43" s="15" t="n">
        <x:f>COUNTIF('任职明细'!$G$5:$G$229,M43)</x:f>
        <x:v>1</x:v>
      </x:c>
      <x:c r="P43" s="13" t="str"/>
    </x:row>
    <x:row r="44" ht="15" hidden="0" customHeight="1">
      <x:c r="A44" s="14" t="n">
        <x:v>40</x:v>
      </x:c>
      <x:c r="B44" s="14" t="str">
        <x:v>ORG040</x:v>
      </x:c>
      <x:c r="C44" s="14" t="str">
        <x:v>ORG032</x:v>
      </x:c>
      <x:c r="D44" s="14" t="n">
        <x:v>2</x:v>
      </x:c>
      <x:c r="E44" s="14" t="str">
        <x:v>总裁线</x:v>
      </x:c>
      <x:c r="F44" s="14" t="str">
        <x:v>总裁线</x:v>
      </x:c>
      <x:c r="G44" s="14" t="str">
        <x:v>物业中心</x:v>
      </x:c>
      <x:c r="H44" s="14" t="str"/>
      <x:c r="I44" s="14" t="str"/>
      <x:c r="J44" s="14" t="str">
        <x:v>物业中心</x:v>
      </x:c>
      <x:c r="K44" s="14" t="str">
        <x:v>中心</x:v>
      </x:c>
      <x:c r="L44" s="12" t="str">
        <x:v>总裁线</x:v>
      </x:c>
      <x:c r="M44" s="13" t="str">
        <x:v>股东会 &gt; 总裁线 &gt; 物业中心</x:v>
      </x:c>
      <x:c r="N44" s="15" t="str">
        <x:v>已列人员</x:v>
      </x:c>
      <x:c r="O44" s="15" t="n">
        <x:f>COUNTIF('任职明细'!$G$5:$G$229,M44)</x:f>
        <x:v>1</x:v>
      </x:c>
      <x:c r="P44" s="13" t="str"/>
    </x:row>
    <x:row r="45" ht="15" hidden="0" customHeight="1">
      <x:c r="A45" s="14" t="n">
        <x:v>41</x:v>
      </x:c>
      <x:c r="B45" s="14" t="str">
        <x:v>ORG041</x:v>
      </x:c>
      <x:c r="C45" s="14" t="str">
        <x:v>ORG040</x:v>
      </x:c>
      <x:c r="D45" s="14" t="n">
        <x:v>3</x:v>
      </x:c>
      <x:c r="E45" s="14" t="str">
        <x:v>总裁线</x:v>
      </x:c>
      <x:c r="F45" s="14" t="str">
        <x:v>总裁线</x:v>
      </x:c>
      <x:c r="G45" s="14" t="str">
        <x:v>物业中心</x:v>
      </x:c>
      <x:c r="H45" s="14" t="str">
        <x:v>安保部</x:v>
      </x:c>
      <x:c r="I45" s="14" t="str"/>
      <x:c r="J45" s="14" t="str">
        <x:v>安保部</x:v>
      </x:c>
      <x:c r="K45" s="14" t="str">
        <x:v>部门</x:v>
      </x:c>
      <x:c r="L45" s="12" t="str">
        <x:v>物业中心</x:v>
      </x:c>
      <x:c r="M45" s="13" t="str">
        <x:v>股东会 &gt; 总裁线 &gt; 物业中心 &gt; 安保部</x:v>
      </x:c>
      <x:c r="N45" s="15" t="str">
        <x:v>已列人员</x:v>
      </x:c>
      <x:c r="O45" s="15" t="n">
        <x:f>COUNTIF('任职明细'!$G$5:$G$229,M45)</x:f>
        <x:v>2</x:v>
      </x:c>
      <x:c r="P45" s="13" t="str"/>
    </x:row>
    <x:row r="46" ht="15" hidden="0" customHeight="1">
      <x:c r="A46" s="14" t="n">
        <x:v>42</x:v>
      </x:c>
      <x:c r="B46" s="14" t="str">
        <x:v>ORG042</x:v>
      </x:c>
      <x:c r="C46" s="14" t="str">
        <x:v>ORG040</x:v>
      </x:c>
      <x:c r="D46" s="14" t="n">
        <x:v>3</x:v>
      </x:c>
      <x:c r="E46" s="14" t="str">
        <x:v>总裁线</x:v>
      </x:c>
      <x:c r="F46" s="14" t="str">
        <x:v>总裁线</x:v>
      </x:c>
      <x:c r="G46" s="14" t="str">
        <x:v>物业中心</x:v>
      </x:c>
      <x:c r="H46" s="14" t="str">
        <x:v>环卫部</x:v>
      </x:c>
      <x:c r="I46" s="14" t="str"/>
      <x:c r="J46" s="14" t="str">
        <x:v>环卫部</x:v>
      </x:c>
      <x:c r="K46" s="14" t="str">
        <x:v>部门</x:v>
      </x:c>
      <x:c r="L46" s="12" t="str">
        <x:v>物业中心</x:v>
      </x:c>
      <x:c r="M46" s="13" t="str">
        <x:v>股东会 &gt; 总裁线 &gt; 物业中心 &gt; 环卫部</x:v>
      </x:c>
      <x:c r="N46" s="15" t="str">
        <x:v>已列人员</x:v>
      </x:c>
      <x:c r="O46" s="15" t="n">
        <x:f>COUNTIF('任职明细'!$G$5:$G$229,M46)</x:f>
        <x:v>2</x:v>
      </x:c>
      <x:c r="P46" s="13" t="str"/>
    </x:row>
    <x:row r="47" ht="15" hidden="0" customHeight="1">
      <x:c r="A47" s="14" t="n">
        <x:v>43</x:v>
      </x:c>
      <x:c r="B47" s="14" t="str">
        <x:v>ORG043</x:v>
      </x:c>
      <x:c r="C47" s="14" t="str">
        <x:v>ORG040</x:v>
      </x:c>
      <x:c r="D47" s="14" t="n">
        <x:v>3</x:v>
      </x:c>
      <x:c r="E47" s="14" t="str">
        <x:v>总裁线</x:v>
      </x:c>
      <x:c r="F47" s="14" t="str">
        <x:v>总裁线</x:v>
      </x:c>
      <x:c r="G47" s="14" t="str">
        <x:v>物业中心</x:v>
      </x:c>
      <x:c r="H47" s="14" t="str">
        <x:v>商管部</x:v>
      </x:c>
      <x:c r="I47" s="14" t="str"/>
      <x:c r="J47" s="14" t="str">
        <x:v>商管部</x:v>
      </x:c>
      <x:c r="K47" s="14" t="str">
        <x:v>部门</x:v>
      </x:c>
      <x:c r="L47" s="12" t="str">
        <x:v>物业中心</x:v>
      </x:c>
      <x:c r="M47" s="13" t="str">
        <x:v>股东会 &gt; 总裁线 &gt; 物业中心 &gt; 商管部</x:v>
      </x:c>
      <x:c r="N47" s="15" t="str">
        <x:v>已列人员</x:v>
      </x:c>
      <x:c r="O47" s="15" t="n">
        <x:f>COUNTIF('任职明细'!$G$5:$G$229,M47)</x:f>
        <x:v>8</x:v>
      </x:c>
      <x:c r="P47" s="13" t="str"/>
    </x:row>
    <x:row r="48" ht="15" hidden="0" customHeight="1">
      <x:c r="A48" s="14" t="n">
        <x:v>44</x:v>
      </x:c>
      <x:c r="B48" s="14" t="str">
        <x:v>ORG044</x:v>
      </x:c>
      <x:c r="C48" s="14" t="str">
        <x:v>ORG032</x:v>
      </x:c>
      <x:c r="D48" s="14" t="n">
        <x:v>2</x:v>
      </x:c>
      <x:c r="E48" s="14" t="str">
        <x:v>总裁线</x:v>
      </x:c>
      <x:c r="F48" s="14" t="str">
        <x:v>总裁线</x:v>
      </x:c>
      <x:c r="G48" s="14" t="str">
        <x:v>演艺中心</x:v>
      </x:c>
      <x:c r="H48" s="14" t="str"/>
      <x:c r="I48" s="14" t="str"/>
      <x:c r="J48" s="14" t="str">
        <x:v>演艺中心</x:v>
      </x:c>
      <x:c r="K48" s="14" t="str">
        <x:v>中心</x:v>
      </x:c>
      <x:c r="L48" s="12" t="str">
        <x:v>总裁线</x:v>
      </x:c>
      <x:c r="M48" s="13" t="str">
        <x:v>股东会 &gt; 总裁线 &gt; 演艺中心</x:v>
      </x:c>
      <x:c r="N48" s="15" t="str">
        <x:v>未单列人员</x:v>
      </x:c>
      <x:c r="O48" s="15" t="n">
        <x:f>COUNTIF('任职明细'!$G$5:$G$229,M48)</x:f>
        <x:v>0</x:v>
      </x:c>
      <x:c r="P48" s="13" t="str"/>
    </x:row>
    <x:row r="49" ht="15" hidden="0" customHeight="1">
      <x:c r="A49" s="14" t="n">
        <x:v>45</x:v>
      </x:c>
      <x:c r="B49" s="14" t="str">
        <x:v>ORG045</x:v>
      </x:c>
      <x:c r="C49" s="14" t="str">
        <x:v>ORG044</x:v>
      </x:c>
      <x:c r="D49" s="14" t="n">
        <x:v>3</x:v>
      </x:c>
      <x:c r="E49" s="14" t="str">
        <x:v>总裁线</x:v>
      </x:c>
      <x:c r="F49" s="14" t="str">
        <x:v>总裁线</x:v>
      </x:c>
      <x:c r="G49" s="14" t="str">
        <x:v>演艺中心</x:v>
      </x:c>
      <x:c r="H49" s="14" t="str">
        <x:v>中心管理</x:v>
      </x:c>
      <x:c r="I49" s="14" t="str"/>
      <x:c r="J49" s="14" t="str">
        <x:v>中心管理</x:v>
      </x:c>
      <x:c r="K49" s="14" t="str">
        <x:v>管理岗位</x:v>
      </x:c>
      <x:c r="L49" s="12" t="str">
        <x:v>演艺中心</x:v>
      </x:c>
      <x:c r="M49" s="13" t="str">
        <x:v>股东会 &gt; 总裁线 &gt; 演艺中心 &gt; 中心管理</x:v>
      </x:c>
      <x:c r="N49" s="15" t="str">
        <x:v>已列人员</x:v>
      </x:c>
      <x:c r="O49" s="15" t="n">
        <x:f>COUNTIF('任职明细'!$G$5:$G$229,M49)</x:f>
        <x:v>2</x:v>
      </x:c>
      <x:c r="P49" s="13" t="str"/>
    </x:row>
    <x:row r="50" ht="15" hidden="0" customHeight="1">
      <x:c r="A50" s="14" t="n">
        <x:v>46</x:v>
      </x:c>
      <x:c r="B50" s="14" t="str">
        <x:v>ORG046</x:v>
      </x:c>
      <x:c r="C50" s="14" t="str">
        <x:v>ORG044</x:v>
      </x:c>
      <x:c r="D50" s="14" t="n">
        <x:v>3</x:v>
      </x:c>
      <x:c r="E50" s="14" t="str">
        <x:v>总裁线</x:v>
      </x:c>
      <x:c r="F50" s="14" t="str">
        <x:v>总裁线</x:v>
      </x:c>
      <x:c r="G50" s="14" t="str">
        <x:v>演艺中心</x:v>
      </x:c>
      <x:c r="H50" s="14" t="str">
        <x:v>表演部</x:v>
      </x:c>
      <x:c r="I50" s="14" t="str"/>
      <x:c r="J50" s="14" t="str">
        <x:v>表演部</x:v>
      </x:c>
      <x:c r="K50" s="14" t="str">
        <x:v>部门</x:v>
      </x:c>
      <x:c r="L50" s="12" t="str">
        <x:v>演艺中心</x:v>
      </x:c>
      <x:c r="M50" s="13" t="str">
        <x:v>股东会 &gt; 总裁线 &gt; 演艺中心 &gt; 表演部</x:v>
      </x:c>
      <x:c r="N50" s="15" t="str">
        <x:v>已列人员</x:v>
      </x:c>
      <x:c r="O50" s="15" t="n">
        <x:f>COUNTIF('任职明细'!$G$5:$G$229,M50)</x:f>
        <x:v>62</x:v>
      </x:c>
      <x:c r="P50" s="13" t="str"/>
    </x:row>
    <x:row r="51" ht="15" hidden="0" customHeight="1">
      <x:c r="A51" s="14" t="n">
        <x:v>47</x:v>
      </x:c>
      <x:c r="B51" s="14" t="str">
        <x:v>ORG047</x:v>
      </x:c>
      <x:c r="C51" s="14" t="str">
        <x:v>ORG044</x:v>
      </x:c>
      <x:c r="D51" s="14" t="n">
        <x:v>3</x:v>
      </x:c>
      <x:c r="E51" s="14" t="str">
        <x:v>总裁线</x:v>
      </x:c>
      <x:c r="F51" s="14" t="str">
        <x:v>总裁线</x:v>
      </x:c>
      <x:c r="G51" s="14" t="str">
        <x:v>演艺中心</x:v>
      </x:c>
      <x:c r="H51" s="14" t="str">
        <x:v>服化道</x:v>
      </x:c>
      <x:c r="I51" s="14" t="str"/>
      <x:c r="J51" s="14" t="str">
        <x:v>服化道</x:v>
      </x:c>
      <x:c r="K51" s="14" t="str">
        <x:v>其他组织</x:v>
      </x:c>
      <x:c r="L51" s="12" t="str">
        <x:v>演艺中心</x:v>
      </x:c>
      <x:c r="M51" s="13" t="str">
        <x:v>股东会 &gt; 总裁线 &gt; 演艺中心 &gt; 服化道</x:v>
      </x:c>
      <x:c r="N51" s="15" t="str">
        <x:v>已列人员</x:v>
      </x:c>
      <x:c r="O51" s="15" t="n">
        <x:f>COUNTIF('任职明细'!$G$5:$G$229,M51)</x:f>
        <x:v>2</x:v>
      </x:c>
      <x:c r="P51" s="13" t="str"/>
    </x:row>
    <x:row r="52" ht="15" hidden="0" customHeight="1">
      <x:c r="A52" s="14" t="n">
        <x:v>48</x:v>
      </x:c>
      <x:c r="B52" s="14" t="str">
        <x:v>ORG048</x:v>
      </x:c>
      <x:c r="C52" s="14" t="str">
        <x:v>ORG044</x:v>
      </x:c>
      <x:c r="D52" s="14" t="n">
        <x:v>3</x:v>
      </x:c>
      <x:c r="E52" s="14" t="str">
        <x:v>总裁线</x:v>
      </x:c>
      <x:c r="F52" s="14" t="str">
        <x:v>总裁线</x:v>
      </x:c>
      <x:c r="G52" s="14" t="str">
        <x:v>演艺中心</x:v>
      </x:c>
      <x:c r="H52" s="14" t="str">
        <x:v>无人机飞行部</x:v>
      </x:c>
      <x:c r="I52" s="14" t="str"/>
      <x:c r="J52" s="14" t="str">
        <x:v>无人机飞行部</x:v>
      </x:c>
      <x:c r="K52" s="14" t="str">
        <x:v>部门</x:v>
      </x:c>
      <x:c r="L52" s="12" t="str">
        <x:v>演艺中心</x:v>
      </x:c>
      <x:c r="M52" s="13" t="str">
        <x:v>股东会 &gt; 总裁线 &gt; 演艺中心 &gt; 无人机飞行部</x:v>
      </x:c>
      <x:c r="N52" s="15" t="str">
        <x:v>已列人员</x:v>
      </x:c>
      <x:c r="O52" s="15" t="n">
        <x:f>COUNTIF('任职明细'!$G$5:$G$229,M52)</x:f>
        <x:v>3</x:v>
      </x:c>
      <x:c r="P52" s="13" t="str"/>
    </x:row>
    <x:row r="53" ht="15" hidden="0" customHeight="1">
      <x:c r="A53" s="14" t="n">
        <x:v>49</x:v>
      </x:c>
      <x:c r="B53" s="14" t="str">
        <x:v>ORG049</x:v>
      </x:c>
      <x:c r="C53" s="14" t="str">
        <x:v>ORG044</x:v>
      </x:c>
      <x:c r="D53" s="14" t="n">
        <x:v>3</x:v>
      </x:c>
      <x:c r="E53" s="14" t="str">
        <x:v>总裁线</x:v>
      </x:c>
      <x:c r="F53" s="14" t="str">
        <x:v>总裁线</x:v>
      </x:c>
      <x:c r="G53" s="14" t="str">
        <x:v>演艺中心</x:v>
      </x:c>
      <x:c r="H53" s="14" t="str">
        <x:v>演艺技术部</x:v>
      </x:c>
      <x:c r="I53" s="14" t="str"/>
      <x:c r="J53" s="14" t="str">
        <x:v>演艺技术部</x:v>
      </x:c>
      <x:c r="K53" s="14" t="str">
        <x:v>部门</x:v>
      </x:c>
      <x:c r="L53" s="12" t="str">
        <x:v>演艺中心</x:v>
      </x:c>
      <x:c r="M53" s="13" t="str">
        <x:v>股东会 &gt; 总裁线 &gt; 演艺中心 &gt; 演艺技术部</x:v>
      </x:c>
      <x:c r="N53" s="15" t="str">
        <x:v>已列人员</x:v>
      </x:c>
      <x:c r="O53" s="15" t="n">
        <x:f>COUNTIF('任职明细'!$G$5:$G$229,M53)</x:f>
        <x:v>10</x:v>
      </x:c>
      <x:c r="P53" s="13" t="str"/>
    </x:row>
    <x:row r="54" ht="15" hidden="0" customHeight="1">
      <x:c r="A54" s="14" t="n">
        <x:v>50</x:v>
      </x:c>
      <x:c r="B54" s="14" t="str">
        <x:v>ORG050</x:v>
      </x:c>
      <x:c r="C54" s="14" t="str">
        <x:v>ORG032</x:v>
      </x:c>
      <x:c r="D54" s="14" t="n">
        <x:v>2</x:v>
      </x:c>
      <x:c r="E54" s="14" t="str">
        <x:v>总裁线</x:v>
      </x:c>
      <x:c r="F54" s="14" t="str">
        <x:v>总裁线</x:v>
      </x:c>
      <x:c r="G54" s="14" t="str">
        <x:v>网络中心</x:v>
      </x:c>
      <x:c r="H54" s="14" t="str"/>
      <x:c r="I54" s="14" t="str"/>
      <x:c r="J54" s="14" t="str">
        <x:v>网络中心</x:v>
      </x:c>
      <x:c r="K54" s="14" t="str">
        <x:v>中心</x:v>
      </x:c>
      <x:c r="L54" s="12" t="str">
        <x:v>总裁线</x:v>
      </x:c>
      <x:c r="M54" s="13" t="str">
        <x:v>股东会 &gt; 总裁线 &gt; 网络中心</x:v>
      </x:c>
      <x:c r="N54" s="15" t="str">
        <x:v>未单列人员</x:v>
      </x:c>
      <x:c r="O54" s="15" t="n">
        <x:f>COUNTIF('任职明细'!$G$5:$G$229,M54)</x:f>
        <x:v>0</x:v>
      </x:c>
      <x:c r="P54" s="13" t="str"/>
    </x:row>
    <x:row r="55" ht="15" hidden="0" customHeight="1">
      <x:c r="A55" s="14" t="n">
        <x:v>51</x:v>
      </x:c>
      <x:c r="B55" s="14" t="str">
        <x:v>ORG051</x:v>
      </x:c>
      <x:c r="C55" s="14" t="str">
        <x:v>ORG050</x:v>
      </x:c>
      <x:c r="D55" s="14" t="n">
        <x:v>3</x:v>
      </x:c>
      <x:c r="E55" s="14" t="str">
        <x:v>总裁线</x:v>
      </x:c>
      <x:c r="F55" s="14" t="str">
        <x:v>总裁线</x:v>
      </x:c>
      <x:c r="G55" s="14" t="str">
        <x:v>网络中心</x:v>
      </x:c>
      <x:c r="H55" s="14" t="str">
        <x:v>中心管理</x:v>
      </x:c>
      <x:c r="I55" s="14" t="str"/>
      <x:c r="J55" s="14" t="str">
        <x:v>中心管理</x:v>
      </x:c>
      <x:c r="K55" s="14" t="str">
        <x:v>管理岗位</x:v>
      </x:c>
      <x:c r="L55" s="12" t="str">
        <x:v>网络中心</x:v>
      </x:c>
      <x:c r="M55" s="13" t="str">
        <x:v>股东会 &gt; 总裁线 &gt; 网络中心 &gt; 中心管理</x:v>
      </x:c>
      <x:c r="N55" s="15" t="str">
        <x:v>已列人员</x:v>
      </x:c>
      <x:c r="O55" s="15" t="n">
        <x:f>COUNTIF('任职明细'!$G$5:$G$229,M55)</x:f>
        <x:v>1</x:v>
      </x:c>
      <x:c r="P55" s="13" t="str"/>
    </x:row>
    <x:row r="56" ht="15" hidden="0" customHeight="1">
      <x:c r="A56" s="14" t="n">
        <x:v>52</x:v>
      </x:c>
      <x:c r="B56" s="14" t="str">
        <x:v>ORG052</x:v>
      </x:c>
      <x:c r="C56" s="14" t="str">
        <x:v>ORG050</x:v>
      </x:c>
      <x:c r="D56" s="14" t="n">
        <x:v>3</x:v>
      </x:c>
      <x:c r="E56" s="14" t="str">
        <x:v>总裁线</x:v>
      </x:c>
      <x:c r="F56" s="14" t="str">
        <x:v>总裁线</x:v>
      </x:c>
      <x:c r="G56" s="14" t="str">
        <x:v>网络中心</x:v>
      </x:c>
      <x:c r="H56" s="14" t="str">
        <x:v>网络技术部</x:v>
      </x:c>
      <x:c r="I56" s="14" t="str"/>
      <x:c r="J56" s="14" t="str">
        <x:v>网络技术部</x:v>
      </x:c>
      <x:c r="K56" s="14" t="str">
        <x:v>部门</x:v>
      </x:c>
      <x:c r="L56" s="12" t="str">
        <x:v>网络中心</x:v>
      </x:c>
      <x:c r="M56" s="13" t="str">
        <x:v>股东会 &gt; 总裁线 &gt; 网络中心 &gt; 网络技术部</x:v>
      </x:c>
      <x:c r="N56" s="15" t="str">
        <x:v>已列人员</x:v>
      </x:c>
      <x:c r="O56" s="15" t="n">
        <x:f>COUNTIF('任职明细'!$G$5:$G$229,M56)</x:f>
        <x:v>4</x:v>
      </x:c>
      <x:c r="P56" s="13" t="str"/>
    </x:row>
    <x:row r="57" ht="15" hidden="0" customHeight="1">
      <x:c r="A57" s="14" t="n">
        <x:v>53</x:v>
      </x:c>
      <x:c r="B57" s="14" t="str">
        <x:v>ORG053</x:v>
      </x:c>
      <x:c r="C57" s="14" t="str">
        <x:v>ORG050</x:v>
      </x:c>
      <x:c r="D57" s="14" t="n">
        <x:v>3</x:v>
      </x:c>
      <x:c r="E57" s="14" t="str">
        <x:v>总裁线</x:v>
      </x:c>
      <x:c r="F57" s="14" t="str">
        <x:v>总裁线</x:v>
      </x:c>
      <x:c r="G57" s="14" t="str">
        <x:v>网络中心</x:v>
      </x:c>
      <x:c r="H57" s="14" t="str">
        <x:v>系统维护部</x:v>
      </x:c>
      <x:c r="I57" s="14" t="str"/>
      <x:c r="J57" s="14" t="str">
        <x:v>系统维护部</x:v>
      </x:c>
      <x:c r="K57" s="14" t="str">
        <x:v>部门</x:v>
      </x:c>
      <x:c r="L57" s="12" t="str">
        <x:v>网络中心</x:v>
      </x:c>
      <x:c r="M57" s="13" t="str">
        <x:v>股东会 &gt; 总裁线 &gt; 网络中心 &gt; 系统维护部</x:v>
      </x:c>
      <x:c r="N57" s="15" t="str">
        <x:v>已列人员</x:v>
      </x:c>
      <x:c r="O57" s="15" t="n">
        <x:f>COUNTIF('任职明细'!$G$5:$G$229,M57)</x:f>
        <x:v>2</x:v>
      </x:c>
      <x:c r="P57" s="13" t="str"/>
    </x:row>
    <x:row r="58" ht="15" hidden="0" customHeight="1">
      <x:c r="A58" s="14" t="n">
        <x:v>54</x:v>
      </x:c>
      <x:c r="B58" s="14" t="str">
        <x:v>ORG054</x:v>
      </x:c>
      <x:c r="C58" s="14" t="str">
        <x:v>ORG050</x:v>
      </x:c>
      <x:c r="D58" s="14" t="n">
        <x:v>3</x:v>
      </x:c>
      <x:c r="E58" s="14" t="str">
        <x:v>总裁线</x:v>
      </x:c>
      <x:c r="F58" s="14" t="str">
        <x:v>总裁线</x:v>
      </x:c>
      <x:c r="G58" s="14" t="str">
        <x:v>网络中心</x:v>
      </x:c>
      <x:c r="H58" s="14" t="str">
        <x:v>研发部</x:v>
      </x:c>
      <x:c r="I58" s="14" t="str"/>
      <x:c r="J58" s="14" t="str">
        <x:v>研发部</x:v>
      </x:c>
      <x:c r="K58" s="14" t="str">
        <x:v>部门</x:v>
      </x:c>
      <x:c r="L58" s="12" t="str">
        <x:v>网络中心</x:v>
      </x:c>
      <x:c r="M58" s="13" t="str">
        <x:v>股东会 &gt; 总裁线 &gt; 网络中心 &gt; 研发部</x:v>
      </x:c>
      <x:c r="N58" s="15" t="str">
        <x:v>已列人员</x:v>
      </x:c>
      <x:c r="O58" s="15" t="n">
        <x:f>COUNTIF('任职明细'!$G$5:$G$229,M58)</x:f>
        <x:v>1</x:v>
      </x:c>
      <x:c r="P58" s="13" t="str"/>
    </x:row>
    <x:row r="59" ht="15" hidden="0" customHeight="1">
      <x:c r="A59" s="14" t="n">
        <x:v>55</x:v>
      </x:c>
      <x:c r="B59" s="14" t="str">
        <x:v>ORG055</x:v>
      </x:c>
      <x:c r="C59" s="14" t="str">
        <x:v>ORG032</x:v>
      </x:c>
      <x:c r="D59" s="14" t="n">
        <x:v>2</x:v>
      </x:c>
      <x:c r="E59" s="14" t="str">
        <x:v>总裁线</x:v>
      </x:c>
      <x:c r="F59" s="14" t="str">
        <x:v>总裁线</x:v>
      </x:c>
      <x:c r="G59" s="14" t="str">
        <x:v>企划中心</x:v>
      </x:c>
      <x:c r="H59" s="14" t="str"/>
      <x:c r="I59" s="14" t="str"/>
      <x:c r="J59" s="14" t="str">
        <x:v>企划中心</x:v>
      </x:c>
      <x:c r="K59" s="14" t="str">
        <x:v>中心</x:v>
      </x:c>
      <x:c r="L59" s="12" t="str">
        <x:v>总裁线</x:v>
      </x:c>
      <x:c r="M59" s="13" t="str">
        <x:v>股东会 &gt; 总裁线 &gt; 企划中心</x:v>
      </x:c>
      <x:c r="N59" s="15" t="str">
        <x:v>未单列人员</x:v>
      </x:c>
      <x:c r="O59" s="15" t="n">
        <x:f>COUNTIF('任职明细'!$G$5:$G$229,M59)</x:f>
        <x:v>0</x:v>
      </x:c>
      <x:c r="P59" s="13" t="str"/>
    </x:row>
    <x:row r="60" ht="15" hidden="0" customHeight="1">
      <x:c r="A60" s="14" t="n">
        <x:v>56</x:v>
      </x:c>
      <x:c r="B60" s="14" t="str">
        <x:v>ORG056</x:v>
      </x:c>
      <x:c r="C60" s="14" t="str">
        <x:v>ORG055</x:v>
      </x:c>
      <x:c r="D60" s="14" t="n">
        <x:v>3</x:v>
      </x:c>
      <x:c r="E60" s="14" t="str">
        <x:v>总裁线</x:v>
      </x:c>
      <x:c r="F60" s="14" t="str">
        <x:v>总裁线</x:v>
      </x:c>
      <x:c r="G60" s="14" t="str">
        <x:v>企划中心</x:v>
      </x:c>
      <x:c r="H60" s="14" t="str">
        <x:v>中心管理</x:v>
      </x:c>
      <x:c r="I60" s="14" t="str"/>
      <x:c r="J60" s="14" t="str">
        <x:v>中心管理</x:v>
      </x:c>
      <x:c r="K60" s="14" t="str">
        <x:v>管理岗位</x:v>
      </x:c>
      <x:c r="L60" s="12" t="str">
        <x:v>企划中心</x:v>
      </x:c>
      <x:c r="M60" s="13" t="str">
        <x:v>股东会 &gt; 总裁线 &gt; 企划中心 &gt; 中心管理</x:v>
      </x:c>
      <x:c r="N60" s="15" t="str">
        <x:v>已列人员</x:v>
      </x:c>
      <x:c r="O60" s="15" t="n">
        <x:f>COUNTIF('任职明细'!$G$5:$G$229,M60)</x:f>
        <x:v>2</x:v>
      </x:c>
      <x:c r="P60" s="13" t="str"/>
    </x:row>
    <x:row r="61" ht="15" hidden="0" customHeight="1">
      <x:c r="A61" s="14" t="n">
        <x:v>57</x:v>
      </x:c>
      <x:c r="B61" s="14" t="str">
        <x:v>ORG057</x:v>
      </x:c>
      <x:c r="C61" s="14" t="str">
        <x:v>ORG055</x:v>
      </x:c>
      <x:c r="D61" s="14" t="n">
        <x:v>3</x:v>
      </x:c>
      <x:c r="E61" s="14" t="str">
        <x:v>总裁线</x:v>
      </x:c>
      <x:c r="F61" s="14" t="str">
        <x:v>总裁线</x:v>
      </x:c>
      <x:c r="G61" s="14" t="str">
        <x:v>企划中心</x:v>
      </x:c>
      <x:c r="H61" s="14" t="str">
        <x:v>企宣部</x:v>
      </x:c>
      <x:c r="I61" s="14" t="str"/>
      <x:c r="J61" s="14" t="str">
        <x:v>企宣部</x:v>
      </x:c>
      <x:c r="K61" s="14" t="str">
        <x:v>部门</x:v>
      </x:c>
      <x:c r="L61" s="12" t="str">
        <x:v>企划中心</x:v>
      </x:c>
      <x:c r="M61" s="13" t="str">
        <x:v>股东会 &gt; 总裁线 &gt; 企划中心 &gt; 企宣部</x:v>
      </x:c>
      <x:c r="N61" s="15" t="str">
        <x:v>已列人员</x:v>
      </x:c>
      <x:c r="O61" s="15" t="n">
        <x:f>COUNTIF('任职明细'!$G$5:$G$229,M61)</x:f>
        <x:v>3</x:v>
      </x:c>
      <x:c r="P61" s="13" t="str"/>
    </x:row>
    <x:row r="62" ht="15" hidden="0" customHeight="1">
      <x:c r="A62" s="14" t="n">
        <x:v>58</x:v>
      </x:c>
      <x:c r="B62" s="14" t="str">
        <x:v>ORG058</x:v>
      </x:c>
      <x:c r="C62" s="14" t="str">
        <x:v>ORG055</x:v>
      </x:c>
      <x:c r="D62" s="14" t="n">
        <x:v>3</x:v>
      </x:c>
      <x:c r="E62" s="14" t="str">
        <x:v>总裁线</x:v>
      </x:c>
      <x:c r="F62" s="14" t="str">
        <x:v>总裁线</x:v>
      </x:c>
      <x:c r="G62" s="14" t="str">
        <x:v>企划中心</x:v>
      </x:c>
      <x:c r="H62" s="14" t="str">
        <x:v>策划部</x:v>
      </x:c>
      <x:c r="I62" s="14" t="str"/>
      <x:c r="J62" s="14" t="str">
        <x:v>策划部</x:v>
      </x:c>
      <x:c r="K62" s="14" t="str">
        <x:v>部门</x:v>
      </x:c>
      <x:c r="L62" s="12" t="str">
        <x:v>企划中心</x:v>
      </x:c>
      <x:c r="M62" s="13" t="str">
        <x:v>股东会 &gt; 总裁线 &gt; 企划中心 &gt; 策划部</x:v>
      </x:c>
      <x:c r="N62" s="15" t="str">
        <x:v>已列人员</x:v>
      </x:c>
      <x:c r="O62" s="15" t="n">
        <x:f>COUNTIF('任职明细'!$G$5:$G$229,M62)</x:f>
        <x:v>3</x:v>
      </x:c>
      <x:c r="P62" s="13" t="str"/>
    </x:row>
    <x:row r="63" ht="15" hidden="0" customHeight="1">
      <x:c r="A63" s="14" t="n">
        <x:v>59</x:v>
      </x:c>
      <x:c r="B63" s="14" t="str">
        <x:v>ORG059</x:v>
      </x:c>
      <x:c r="C63" s="14" t="str">
        <x:v>ORG032</x:v>
      </x:c>
      <x:c r="D63" s="14" t="n">
        <x:v>2</x:v>
      </x:c>
      <x:c r="E63" s="14" t="str">
        <x:v>总裁线</x:v>
      </x:c>
      <x:c r="F63" s="14" t="str">
        <x:v>总裁线</x:v>
      </x:c>
      <x:c r="G63" s="14" t="str">
        <x:v>新媒体中心</x:v>
      </x:c>
      <x:c r="H63" s="14" t="str"/>
      <x:c r="I63" s="14" t="str"/>
      <x:c r="J63" s="14" t="str">
        <x:v>新媒体中心</x:v>
      </x:c>
      <x:c r="K63" s="14" t="str">
        <x:v>中心</x:v>
      </x:c>
      <x:c r="L63" s="12" t="str">
        <x:v>总裁线</x:v>
      </x:c>
      <x:c r="M63" s="13" t="str">
        <x:v>股东会 &gt; 总裁线 &gt; 新媒体中心</x:v>
      </x:c>
      <x:c r="N63" s="15" t="str">
        <x:v>已列人员</x:v>
      </x:c>
      <x:c r="O63" s="15" t="n">
        <x:f>COUNTIF('任职明细'!$G$5:$G$229,M63)</x:f>
        <x:v>1</x:v>
      </x:c>
      <x:c r="P63" s="13" t="str"/>
    </x:row>
    <x:row r="64" ht="15" hidden="0" customHeight="1">
      <x:c r="A64" s="14" t="n">
        <x:v>60</x:v>
      </x:c>
      <x:c r="B64" s="14" t="str">
        <x:v>ORG060</x:v>
      </x:c>
      <x:c r="C64" s="14" t="str">
        <x:v>ORG059</x:v>
      </x:c>
      <x:c r="D64" s="14" t="n">
        <x:v>3</x:v>
      </x:c>
      <x:c r="E64" s="14" t="str">
        <x:v>总裁线</x:v>
      </x:c>
      <x:c r="F64" s="14" t="str">
        <x:v>总裁线</x:v>
      </x:c>
      <x:c r="G64" s="14" t="str">
        <x:v>新媒体中心</x:v>
      </x:c>
      <x:c r="H64" s="14" t="str">
        <x:v>OTA部</x:v>
      </x:c>
      <x:c r="I64" s="14" t="str"/>
      <x:c r="J64" s="14" t="str">
        <x:v>OTA部</x:v>
      </x:c>
      <x:c r="K64" s="14" t="str">
        <x:v>部门</x:v>
      </x:c>
      <x:c r="L64" s="12" t="str">
        <x:v>新媒体中心</x:v>
      </x:c>
      <x:c r="M64" s="13" t="str">
        <x:v>股东会 &gt; 总裁线 &gt; 新媒体中心 &gt; OTA部</x:v>
      </x:c>
      <x:c r="N64" s="15" t="str">
        <x:v>已列人员</x:v>
      </x:c>
      <x:c r="O64" s="15" t="n">
        <x:f>COUNTIF('任职明细'!$G$5:$G$229,M64)</x:f>
        <x:v>1</x:v>
      </x:c>
      <x:c r="P64" s="13" t="str"/>
    </x:row>
    <x:row r="65" ht="15" hidden="0" customHeight="1">
      <x:c r="A65" s="14" t="n">
        <x:v>61</x:v>
      </x:c>
      <x:c r="B65" s="14" t="str">
        <x:v>ORG061</x:v>
      </x:c>
      <x:c r="C65" s="14" t="str">
        <x:v>ORG059</x:v>
      </x:c>
      <x:c r="D65" s="14" t="n">
        <x:v>3</x:v>
      </x:c>
      <x:c r="E65" s="14" t="str">
        <x:v>总裁线</x:v>
      </x:c>
      <x:c r="F65" s="14" t="str">
        <x:v>总裁线</x:v>
      </x:c>
      <x:c r="G65" s="14" t="str">
        <x:v>新媒体中心</x:v>
      </x:c>
      <x:c r="H65" s="14" t="str">
        <x:v>抖音部</x:v>
      </x:c>
      <x:c r="I65" s="14" t="str"/>
      <x:c r="J65" s="14" t="str">
        <x:v>抖音部</x:v>
      </x:c>
      <x:c r="K65" s="14" t="str">
        <x:v>部门</x:v>
      </x:c>
      <x:c r="L65" s="12" t="str">
        <x:v>新媒体中心</x:v>
      </x:c>
      <x:c r="M65" s="13" t="str">
        <x:v>股东会 &gt; 总裁线 &gt; 新媒体中心 &gt; 抖音部</x:v>
      </x:c>
      <x:c r="N65" s="15" t="str">
        <x:v>已列人员</x:v>
      </x:c>
      <x:c r="O65" s="15" t="n">
        <x:f>COUNTIF('任职明细'!$G$5:$G$229,M65)</x:f>
        <x:v>1</x:v>
      </x:c>
      <x:c r="P65" s="13" t="str"/>
    </x:row>
    <x:row r="66" ht="15" hidden="0" customHeight="1">
      <x:c r="A66" s="14" t="n">
        <x:v>62</x:v>
      </x:c>
      <x:c r="B66" s="14" t="str">
        <x:v>ORG062</x:v>
      </x:c>
      <x:c r="C66" s="14" t="str">
        <x:v>ORG059</x:v>
      </x:c>
      <x:c r="D66" s="14" t="n">
        <x:v>3</x:v>
      </x:c>
      <x:c r="E66" s="14" t="str">
        <x:v>总裁线</x:v>
      </x:c>
      <x:c r="F66" s="14" t="str">
        <x:v>总裁线</x:v>
      </x:c>
      <x:c r="G66" s="14" t="str">
        <x:v>新媒体中心</x:v>
      </x:c>
      <x:c r="H66" s="14" t="str">
        <x:v>品牌部</x:v>
      </x:c>
      <x:c r="I66" s="14" t="str"/>
      <x:c r="J66" s="14" t="str">
        <x:v>品牌部</x:v>
      </x:c>
      <x:c r="K66" s="14" t="str">
        <x:v>部门</x:v>
      </x:c>
      <x:c r="L66" s="12" t="str">
        <x:v>新媒体中心</x:v>
      </x:c>
      <x:c r="M66" s="13" t="str">
        <x:v>股东会 &gt; 总裁线 &gt; 新媒体中心 &gt; 品牌部</x:v>
      </x:c>
      <x:c r="N66" s="15" t="str">
        <x:v>已列人员</x:v>
      </x:c>
      <x:c r="O66" s="15" t="n">
        <x:f>COUNTIF('任职明细'!$G$5:$G$229,M66)</x:f>
        <x:v>1</x:v>
      </x:c>
      <x:c r="P66" s="13" t="str"/>
    </x:row>
    <x:row r="67" ht="15" hidden="0" customHeight="1">
      <x:c r="A67" s="14" t="n">
        <x:v>63</x:v>
      </x:c>
      <x:c r="B67" s="14" t="str">
        <x:v>ORG063</x:v>
      </x:c>
      <x:c r="C67" s="14" t="str">
        <x:v>ORG032</x:v>
      </x:c>
      <x:c r="D67" s="14" t="n">
        <x:v>2</x:v>
      </x:c>
      <x:c r="E67" s="14" t="str">
        <x:v>总裁线</x:v>
      </x:c>
      <x:c r="F67" s="14" t="str">
        <x:v>总裁线</x:v>
      </x:c>
      <x:c r="G67" s="14" t="str">
        <x:v>运营中心</x:v>
      </x:c>
      <x:c r="H67" s="14" t="str"/>
      <x:c r="I67" s="14" t="str"/>
      <x:c r="J67" s="14" t="str">
        <x:v>运营中心</x:v>
      </x:c>
      <x:c r="K67" s="14" t="str">
        <x:v>中心</x:v>
      </x:c>
      <x:c r="L67" s="12" t="str">
        <x:v>总裁线</x:v>
      </x:c>
      <x:c r="M67" s="13" t="str">
        <x:v>股东会 &gt; 总裁线 &gt; 运营中心</x:v>
      </x:c>
      <x:c r="N67" s="15" t="str">
        <x:v>未单列人员</x:v>
      </x:c>
      <x:c r="O67" s="15" t="n">
        <x:f>COUNTIF('任职明细'!$G$5:$G$229,M67)</x:f>
        <x:v>0</x:v>
      </x:c>
      <x:c r="P67" s="13" t="str"/>
    </x:row>
    <x:row r="68" ht="15" hidden="0" customHeight="1">
      <x:c r="A68" s="14" t="n">
        <x:v>64</x:v>
      </x:c>
      <x:c r="B68" s="14" t="str">
        <x:v>ORG064</x:v>
      </x:c>
      <x:c r="C68" s="14" t="str">
        <x:v>ORG063</x:v>
      </x:c>
      <x:c r="D68" s="14" t="n">
        <x:v>3</x:v>
      </x:c>
      <x:c r="E68" s="14" t="str">
        <x:v>总裁线</x:v>
      </x:c>
      <x:c r="F68" s="14" t="str">
        <x:v>总裁线</x:v>
      </x:c>
      <x:c r="G68" s="14" t="str">
        <x:v>运营中心</x:v>
      </x:c>
      <x:c r="H68" s="14" t="str">
        <x:v>中心管理</x:v>
      </x:c>
      <x:c r="I68" s="14" t="str"/>
      <x:c r="J68" s="14" t="str">
        <x:v>中心管理</x:v>
      </x:c>
      <x:c r="K68" s="14" t="str">
        <x:v>管理岗位</x:v>
      </x:c>
      <x:c r="L68" s="12" t="str">
        <x:v>运营中心</x:v>
      </x:c>
      <x:c r="M68" s="13" t="str">
        <x:v>股东会 &gt; 总裁线 &gt; 运营中心 &gt; 中心管理</x:v>
      </x:c>
      <x:c r="N68" s="15" t="str">
        <x:v>已列人员</x:v>
      </x:c>
      <x:c r="O68" s="15" t="n">
        <x:f>COUNTIF('任职明细'!$G$5:$G$229,M68)</x:f>
        <x:v>3</x:v>
      </x:c>
      <x:c r="P68" s="13" t="str"/>
    </x:row>
    <x:row r="69" ht="15" hidden="0" customHeight="1">
      <x:c r="A69" s="14" t="n">
        <x:v>65</x:v>
      </x:c>
      <x:c r="B69" s="14" t="str">
        <x:v>ORG065</x:v>
      </x:c>
      <x:c r="C69" s="14" t="str">
        <x:v>ORG063</x:v>
      </x:c>
      <x:c r="D69" s="14" t="n">
        <x:v>3</x:v>
      </x:c>
      <x:c r="E69" s="14" t="str">
        <x:v>总裁线</x:v>
      </x:c>
      <x:c r="F69" s="14" t="str">
        <x:v>总裁线</x:v>
      </x:c>
      <x:c r="G69" s="14" t="str">
        <x:v>运营中心</x:v>
      </x:c>
      <x:c r="H69" s="14" t="str">
        <x:v>接待部</x:v>
      </x:c>
      <x:c r="I69" s="14" t="str"/>
      <x:c r="J69" s="14" t="str">
        <x:v>接待部</x:v>
      </x:c>
      <x:c r="K69" s="14" t="str">
        <x:v>部门</x:v>
      </x:c>
      <x:c r="L69" s="12" t="str">
        <x:v>运营中心</x:v>
      </x:c>
      <x:c r="M69" s="13" t="str">
        <x:v>股东会 &gt; 总裁线 &gt; 运营中心 &gt; 接待部</x:v>
      </x:c>
      <x:c r="N69" s="15" t="str">
        <x:v>已列人员</x:v>
      </x:c>
      <x:c r="O69" s="15" t="n">
        <x:f>COUNTIF('任职明细'!$G$5:$G$229,M69)</x:f>
        <x:v>16</x:v>
      </x:c>
      <x:c r="P69" s="13" t="str"/>
    </x:row>
    <x:row r="70" ht="15" hidden="0" customHeight="1">
      <x:c r="A70" s="14" t="n">
        <x:v>66</x:v>
      </x:c>
      <x:c r="B70" s="14" t="str">
        <x:v>ORG066</x:v>
      </x:c>
      <x:c r="C70" s="14" t="str">
        <x:v>ORG063</x:v>
      </x:c>
      <x:c r="D70" s="14" t="n">
        <x:v>3</x:v>
      </x:c>
      <x:c r="E70" s="14" t="str">
        <x:v>总裁线</x:v>
      </x:c>
      <x:c r="F70" s="14" t="str">
        <x:v>总裁线</x:v>
      </x:c>
      <x:c r="G70" s="14" t="str">
        <x:v>运营中心</x:v>
      </x:c>
      <x:c r="H70" s="14" t="str">
        <x:v>营销部</x:v>
      </x:c>
      <x:c r="I70" s="14" t="str"/>
      <x:c r="J70" s="14" t="str">
        <x:v>营销部</x:v>
      </x:c>
      <x:c r="K70" s="14" t="str">
        <x:v>部门</x:v>
      </x:c>
      <x:c r="L70" s="12" t="str">
        <x:v>运营中心</x:v>
      </x:c>
      <x:c r="M70" s="13" t="str">
        <x:v>股东会 &gt; 总裁线 &gt; 运营中心 &gt; 营销部</x:v>
      </x:c>
      <x:c r="N70" s="15" t="str">
        <x:v>已列人员</x:v>
      </x:c>
      <x:c r="O70" s="15" t="n">
        <x:f>COUNTIF('任职明细'!$G$5:$G$229,M70)</x:f>
        <x:v>8</x:v>
      </x:c>
      <x:c r="P70" s="13" t="str"/>
    </x:row>
  </x:sheetData>
  <x:mergeCells>
    <x:mergeCell ref="A1:P1"/>
    <x:mergeCell ref="A2:P2"/>
  </x:mergeCells>
  <x:conditionalFormatting sqref="N5:N70">
    <x:cfRule type="containsText" dxfId="1" priority="1" operator="containsText" text="明确无人员"/>
  </x:conditionalFormatting>
  <x:pageMargins left="0.7" right="0.7" top="0.75" bottom="0.75" header="0.3" footer="0.3"/>
  <x:tableParts count="1">
    <x:tablePart xmlns:r="http://schemas.openxmlformats.org/officeDocument/2006/relationships" r:id="R2f5e53c0818849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2" hidden="0" customWidth="1"/>
    <x:col min="9" max="9" width="18" hidden="0" customWidth="1"/>
    <x:col min="10" max="10" width="10" hidden="0" customWidth="1"/>
    <x:col min="11" max="11" width="10" hidden="0" customWidth="1"/>
    <x:col min="12" max="12" width="22" hidden="0" customWidth="1"/>
  </x:cols>
  <x:sheetData>
    <x:row r="1" ht="30" customHeight="1">
      <x:c r="A1" s="3" t="str">
        <x:v>企业组织架构—人员任职明细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来源：260801企业架构人员名单.md｜口径：一人一任职记录；同一人员兼任多个岗位时保留多条记录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8" customHeight="1"/>
    <x:row r="4" ht="30" hidden="0" customHeight="1">
      <x:c r="A4" s="11" t="str">
        <x:v>序号</x:v>
      </x:c>
      <x:c r="B4" s="11" t="str">
        <x:v>管理线</x:v>
      </x:c>
      <x:c r="C4" s="11" t="str">
        <x:v>一级组织</x:v>
      </x:c>
      <x:c r="D4" s="11" t="str">
        <x:v>二级组织</x:v>
      </x:c>
      <x:c r="E4" s="11" t="str">
        <x:v>三级组织</x:v>
      </x:c>
      <x:c r="F4" s="11" t="str">
        <x:v>四级组织</x:v>
      </x:c>
      <x:c r="G4" s="11" t="str">
        <x:v>组织全路径</x:v>
      </x:c>
      <x:c r="H4" s="11" t="str">
        <x:v>姓名</x:v>
      </x:c>
      <x:c r="I4" s="11" t="str">
        <x:v>职务</x:v>
      </x:c>
      <x:c r="J4" s="11" t="str">
        <x:v>任职次数</x:v>
      </x:c>
      <x:c r="K4" s="11" t="str">
        <x:v>兼任标识</x:v>
      </x:c>
      <x:c r="L4" s="11" t="str">
        <x:v>备注</x:v>
      </x:c>
    </x:row>
    <x:row r="5" ht="15" hidden="0" customHeight="1">
      <x:c r="A5" s="14" t="n">
        <x:v>1</x:v>
      </x:c>
      <x:c r="B5" s="14" t="str">
        <x:v>党支部</x:v>
      </x:c>
      <x:c r="C5" s="14" t="str">
        <x:v>党支部</x:v>
      </x:c>
      <x:c r="D5" s="14" t="str">
        <x:v>工会</x:v>
      </x:c>
      <x:c r="E5" s="14" t="str"/>
      <x:c r="F5" s="14" t="str"/>
      <x:c r="G5" s="13" t="str">
        <x:v>股东会 &gt; 党支部 &gt; 工会</x:v>
      </x:c>
      <x:c r="H5" s="15" t="str">
        <x:v>赵清越</x:v>
      </x:c>
      <x:c r="I5" s="15" t="str">
        <x:v>工会主席</x:v>
      </x:c>
      <x:c r="J5" s="15" t="n">
        <x:f>COUNTIF($H$5:$H$229,H5)</x:f>
        <x:v>1</x:v>
      </x:c>
      <x:c r="K5" s="15" t="str">
        <x:f>IF(OR(J5&gt;1,ISNUMBER(SEARCH("兼",I5))),"是","否")</x:f>
        <x:v>否</x:v>
      </x:c>
      <x:c r="L5" s="13" t="str"/>
    </x:row>
    <x:row r="6" ht="15" hidden="0" customHeight="1">
      <x:c r="A6" s="14" t="n">
        <x:v>2</x:v>
      </x:c>
      <x:c r="B6" s="14" t="str">
        <x:v>党支部</x:v>
      </x:c>
      <x:c r="C6" s="14" t="str">
        <x:v>党支部</x:v>
      </x:c>
      <x:c r="D6" s="14" t="str">
        <x:v>工会</x:v>
      </x:c>
      <x:c r="E6" s="14" t="str"/>
      <x:c r="F6" s="14" t="str"/>
      <x:c r="G6" s="13" t="str">
        <x:v>股东会 &gt; 党支部 &gt; 工会</x:v>
      </x:c>
      <x:c r="H6" s="15" t="str">
        <x:v>钱星川</x:v>
      </x:c>
      <x:c r="I6" s="15" t="str">
        <x:v>工会副主席</x:v>
      </x:c>
      <x:c r="J6" s="15" t="n">
        <x:f>COUNTIF($H$5:$H$229,H6)</x:f>
        <x:v>3</x:v>
      </x:c>
      <x:c r="K6" s="15" t="str">
        <x:f>IF(OR(J6&gt;1,ISNUMBER(SEARCH("兼",I6))),"是","否")</x:f>
        <x:v>是</x:v>
      </x:c>
      <x:c r="L6" s="13" t="str"/>
    </x:row>
    <x:row r="7" ht="15" hidden="0" customHeight="1">
      <x:c r="A7" s="14" t="n">
        <x:v>3</x:v>
      </x:c>
      <x:c r="B7" s="14" t="str">
        <x:v>党支部</x:v>
      </x:c>
      <x:c r="C7" s="14" t="str">
        <x:v>党支部</x:v>
      </x:c>
      <x:c r="D7" s="14" t="str">
        <x:v>党建办公室</x:v>
      </x:c>
      <x:c r="E7" s="14" t="str"/>
      <x:c r="F7" s="14" t="str"/>
      <x:c r="G7" s="13" t="str">
        <x:v>股东会 &gt; 党支部 &gt; 党建办公室</x:v>
      </x:c>
      <x:c r="H7" s="15" t="str">
        <x:v>赵予安</x:v>
      </x:c>
      <x:c r="I7" s="15" t="str">
        <x:v>书记</x:v>
      </x:c>
      <x:c r="J7" s="15" t="n">
        <x:f>COUNTIF($H$5:$H$229,H7)</x:f>
        <x:v>3</x:v>
      </x:c>
      <x:c r="K7" s="15" t="str">
        <x:f>IF(OR(J7&gt;1,ISNUMBER(SEARCH("兼",I7))),"是","否")</x:f>
        <x:v>是</x:v>
      </x:c>
      <x:c r="L7" s="13" t="str"/>
    </x:row>
    <x:row r="8" ht="15" hidden="0" customHeight="1">
      <x:c r="A8" s="14" t="n">
        <x:v>4</x:v>
      </x:c>
      <x:c r="B8" s="14" t="str">
        <x:v>董事会</x:v>
      </x:c>
      <x:c r="C8" s="14" t="str">
        <x:v>董事会</x:v>
      </x:c>
      <x:c r="D8" s="14" t="str">
        <x:v>董办</x:v>
      </x:c>
      <x:c r="E8" s="14" t="str"/>
      <x:c r="F8" s="14" t="str"/>
      <x:c r="G8" s="13" t="str">
        <x:v>股东会 &gt; 董事会 &gt; 董办</x:v>
      </x:c>
      <x:c r="H8" s="15" t="str">
        <x:v>赵安宁</x:v>
      </x:c>
      <x:c r="I8" s="15" t="str">
        <x:v>董事长</x:v>
      </x:c>
      <x:c r="J8" s="15" t="n">
        <x:f>COUNTIF($H$5:$H$229,H8)</x:f>
        <x:v>1</x:v>
      </x:c>
      <x:c r="K8" s="15" t="str">
        <x:f>IF(OR(J8&gt;1,ISNUMBER(SEARCH("兼",I8))),"是","否")</x:f>
        <x:v>否</x:v>
      </x:c>
      <x:c r="L8" s="13" t="str"/>
    </x:row>
    <x:row r="9" ht="15" hidden="0" customHeight="1">
      <x:c r="A9" s="14" t="n">
        <x:v>5</x:v>
      </x:c>
      <x:c r="B9" s="14" t="str">
        <x:v>董事会</x:v>
      </x:c>
      <x:c r="C9" s="14" t="str">
        <x:v>董事会</x:v>
      </x:c>
      <x:c r="D9" s="14" t="str">
        <x:v>董办</x:v>
      </x:c>
      <x:c r="E9" s="14" t="str"/>
      <x:c r="F9" s="14" t="str"/>
      <x:c r="G9" s="13" t="str">
        <x:v>股东会 &gt; 董事会 &gt; 董办</x:v>
      </x:c>
      <x:c r="H9" s="15" t="str">
        <x:v>赵景行</x:v>
      </x:c>
      <x:c r="I9" s="15" t="str">
        <x:v>董事长助理</x:v>
      </x:c>
      <x:c r="J9" s="15" t="n">
        <x:f>COUNTIF($H$5:$H$229,H9)</x:f>
        <x:v>1</x:v>
      </x:c>
      <x:c r="K9" s="15" t="str">
        <x:f>IF(OR(J9&gt;1,ISNUMBER(SEARCH("兼",I9))),"是","否")</x:f>
        <x:v>否</x:v>
      </x:c>
      <x:c r="L9" s="13" t="str"/>
    </x:row>
    <x:row r="10" ht="15" hidden="0" customHeight="1">
      <x:c r="A10" s="14" t="n">
        <x:v>6</x:v>
      </x:c>
      <x:c r="B10" s="14" t="str">
        <x:v>董事会</x:v>
      </x:c>
      <x:c r="C10" s="14" t="str">
        <x:v>董事会</x:v>
      </x:c>
      <x:c r="D10" s="14" t="str">
        <x:v>董办</x:v>
      </x:c>
      <x:c r="E10" s="14" t="str"/>
      <x:c r="F10" s="14" t="str"/>
      <x:c r="G10" s="13" t="str">
        <x:v>股东会 &gt; 董事会 &gt; 董办</x:v>
      </x:c>
      <x:c r="H10" s="15" t="str">
        <x:v>钱明远</x:v>
      </x:c>
      <x:c r="I10" s="15" t="str">
        <x:v>董事长助理</x:v>
      </x:c>
      <x:c r="J10" s="15" t="n">
        <x:f>COUNTIF($H$5:$H$229,H10)</x:f>
        <x:v>1</x:v>
      </x:c>
      <x:c r="K10" s="15" t="str">
        <x:f>IF(OR(J10&gt;1,ISNUMBER(SEARCH("兼",I10))),"是","否")</x:f>
        <x:v>否</x:v>
      </x:c>
      <x:c r="L10" s="13" t="str"/>
    </x:row>
    <x:row r="11" ht="15" hidden="0" customHeight="1">
      <x:c r="A11" s="14" t="n">
        <x:v>7</x:v>
      </x:c>
      <x:c r="B11" s="14" t="str">
        <x:v>监事会</x:v>
      </x:c>
      <x:c r="C11" s="14" t="str">
        <x:v>监事会</x:v>
      </x:c>
      <x:c r="D11" s="14" t="str"/>
      <x:c r="E11" s="14" t="str"/>
      <x:c r="F11" s="14" t="str"/>
      <x:c r="G11" s="13" t="str">
        <x:v>股东会 &gt; 监事会</x:v>
      </x:c>
      <x:c r="H11" s="15" t="str">
        <x:v>赵景和</x:v>
      </x:c>
      <x:c r="I11" s="15" t="str">
        <x:v>主席</x:v>
      </x:c>
      <x:c r="J11" s="15" t="n">
        <x:f>COUNTIF($H$5:$H$229,H11)</x:f>
        <x:v>2</x:v>
      </x:c>
      <x:c r="K11" s="15" t="str">
        <x:f>IF(OR(J11&gt;1,ISNUMBER(SEARCH("兼",I11))),"是","否")</x:f>
        <x:v>是</x:v>
      </x:c>
      <x:c r="L11" s="13" t="str"/>
    </x:row>
    <x:row r="12" ht="15" hidden="0" customHeight="1">
      <x:c r="A12" s="14" t="n">
        <x:v>8</x:v>
      </x:c>
      <x:c r="B12" s="14" t="str">
        <x:v>监事会</x:v>
      </x:c>
      <x:c r="C12" s="14" t="str">
        <x:v>监事会</x:v>
      </x:c>
      <x:c r="D12" s="14" t="str"/>
      <x:c r="E12" s="14" t="str"/>
      <x:c r="F12" s="14" t="str"/>
      <x:c r="G12" s="13" t="str">
        <x:v>股东会 &gt; 监事会</x:v>
      </x:c>
      <x:c r="H12" s="15" t="str">
        <x:v>赵希文</x:v>
      </x:c>
      <x:c r="I12" s="15" t="str">
        <x:v>监事</x:v>
      </x:c>
      <x:c r="J12" s="15" t="n">
        <x:f>COUNTIF($H$5:$H$229,H12)</x:f>
        <x:v>3</x:v>
      </x:c>
      <x:c r="K12" s="15" t="str">
        <x:f>IF(OR(J12&gt;1,ISNUMBER(SEARCH("兼",I12))),"是","否")</x:f>
        <x:v>是</x:v>
      </x:c>
      <x:c r="L12" s="13" t="str"/>
    </x:row>
    <x:row r="13" ht="15" hidden="0" customHeight="1">
      <x:c r="A13" s="14" t="n">
        <x:v>9</x:v>
      </x:c>
      <x:c r="B13" s="14" t="str">
        <x:v>监事会</x:v>
      </x:c>
      <x:c r="C13" s="14" t="str">
        <x:v>监事会</x:v>
      </x:c>
      <x:c r="D13" s="14" t="str"/>
      <x:c r="E13" s="14" t="str"/>
      <x:c r="F13" s="14" t="str"/>
      <x:c r="G13" s="13" t="str">
        <x:v>股东会 &gt; 监事会</x:v>
      </x:c>
      <x:c r="H13" s="15" t="str">
        <x:v>赵予安</x:v>
      </x:c>
      <x:c r="I13" s="15" t="str">
        <x:v>监事</x:v>
      </x:c>
      <x:c r="J13" s="15" t="n">
        <x:f>COUNTIF($H$5:$H$229,H13)</x:f>
        <x:v>3</x:v>
      </x:c>
      <x:c r="K13" s="15" t="str">
        <x:f>IF(OR(J13&gt;1,ISNUMBER(SEARCH("兼",I13))),"是","否")</x:f>
        <x:v>是</x:v>
      </x:c>
      <x:c r="L13" s="13" t="str"/>
    </x:row>
    <x:row r="14" ht="26.399999618530273" hidden="0" customHeight="1">
      <x:c r="A14" s="14" t="n">
        <x:v>10</x:v>
      </x:c>
      <x:c r="B14" s="14" t="str">
        <x:v>董事长直管独立单位</x:v>
      </x:c>
      <x:c r="C14" s="14" t="str">
        <x:v>董事长直管独立单位</x:v>
      </x:c>
      <x:c r="D14" s="14" t="str">
        <x:v>工程建设指挥部</x:v>
      </x:c>
      <x:c r="E14" s="14" t="str">
        <x:v>本部管理岗</x:v>
      </x:c>
      <x:c r="F14" s="14" t="str"/>
      <x:c r="G14" s="13" t="str">
        <x:v>股东会 &gt; 董事长直管独立单位 &gt; 工程建设指挥部 &gt; 本部管理岗</x:v>
      </x:c>
      <x:c r="H14" s="15" t="str">
        <x:v>赵卓然</x:v>
      </x:c>
      <x:c r="I14" s="15" t="str">
        <x:v>常务副总指挥</x:v>
      </x:c>
      <x:c r="J14" s="15" t="n">
        <x:f>COUNTIF($H$5:$H$229,H14)</x:f>
        <x:v>2</x:v>
      </x:c>
      <x:c r="K14" s="15" t="str">
        <x:f>IF(OR(J14&gt;1,ISNUMBER(SEARCH("兼",I14))),"是","否")</x:f>
        <x:v>是</x:v>
      </x:c>
      <x:c r="L14" s="13" t="str"/>
    </x:row>
    <x:row r="15" ht="26.399999618530273" hidden="0" customHeight="1">
      <x:c r="A15" s="14" t="n">
        <x:v>11</x:v>
      </x:c>
      <x:c r="B15" s="14" t="str">
        <x:v>董事长直管独立单位</x:v>
      </x:c>
      <x:c r="C15" s="14" t="str">
        <x:v>董事长直管独立单位</x:v>
      </x:c>
      <x:c r="D15" s="14" t="str">
        <x:v>工程建设指挥部</x:v>
      </x:c>
      <x:c r="E15" s="14" t="str">
        <x:v>本部管理岗</x:v>
      </x:c>
      <x:c r="F15" s="14" t="str"/>
      <x:c r="G15" s="13" t="str">
        <x:v>股东会 &gt; 董事长直管独立单位 &gt; 工程建设指挥部 &gt; 本部管理岗</x:v>
      </x:c>
      <x:c r="H15" s="15" t="str">
        <x:v>赵允禾</x:v>
      </x:c>
      <x:c r="I15" s="15" t="str">
        <x:v>副总指挥</x:v>
      </x:c>
      <x:c r="J15" s="15" t="n">
        <x:f>COUNTIF($H$5:$H$229,H15)</x:f>
        <x:v>1</x:v>
      </x:c>
      <x:c r="K15" s="15" t="str">
        <x:f>IF(OR(J15&gt;1,ISNUMBER(SEARCH("兼",I15))),"是","否")</x:f>
        <x:v>否</x:v>
      </x:c>
      <x:c r="L15" s="13" t="str"/>
    </x:row>
    <x:row r="16" ht="26.399999618530273" hidden="0" customHeight="1">
      <x:c r="A16" s="14" t="n">
        <x:v>12</x:v>
      </x:c>
      <x:c r="B16" s="14" t="str">
        <x:v>董事长直管独立单位</x:v>
      </x:c>
      <x:c r="C16" s="14" t="str">
        <x:v>董事长直管独立单位</x:v>
      </x:c>
      <x:c r="D16" s="14" t="str">
        <x:v>工程建设指挥部</x:v>
      </x:c>
      <x:c r="E16" s="14" t="str">
        <x:v>技术支持中心</x:v>
      </x:c>
      <x:c r="F16" s="14" t="str"/>
      <x:c r="G16" s="13" t="str">
        <x:v>股东会 &gt; 董事长直管独立单位 &gt; 工程建设指挥部 &gt; 技术支持中心</x:v>
      </x:c>
      <x:c r="H16" s="15" t="str">
        <x:v>赵卓然</x:v>
      </x:c>
      <x:c r="I16" s="15" t="str">
        <x:v>总经理</x:v>
      </x:c>
      <x:c r="J16" s="15" t="n">
        <x:f>COUNTIF($H$5:$H$229,H16)</x:f>
        <x:v>2</x:v>
      </x:c>
      <x:c r="K16" s="15" t="str">
        <x:f>IF(OR(J16&gt;1,ISNUMBER(SEARCH("兼",I16))),"是","否")</x:f>
        <x:v>是</x:v>
      </x:c>
      <x:c r="L16" s="13" t="str"/>
    </x:row>
    <x:row r="17" ht="26.399999618530273" hidden="0" customHeight="1">
      <x:c r="A17" s="14" t="n">
        <x:v>13</x:v>
      </x:c>
      <x:c r="B17" s="14" t="str">
        <x:v>董事长直管独立单位</x:v>
      </x:c>
      <x:c r="C17" s="14" t="str">
        <x:v>董事长直管独立单位</x:v>
      </x:c>
      <x:c r="D17" s="14" t="str">
        <x:v>工程建设指挥部</x:v>
      </x:c>
      <x:c r="E17" s="14" t="str">
        <x:v>技术支持中心</x:v>
      </x:c>
      <x:c r="F17" s="14" t="str"/>
      <x:c r="G17" s="13" t="str">
        <x:v>股东会 &gt; 董事长直管独立单位 &gt; 工程建设指挥部 &gt; 技术支持中心</x:v>
      </x:c>
      <x:c r="H17" s="15" t="str">
        <x:v>钱语桐</x:v>
      </x:c>
      <x:c r="I17" s="15" t="str"/>
      <x:c r="J17" s="15" t="n">
        <x:f>COUNTIF($H$5:$H$229,H17)</x:f>
        <x:v>1</x:v>
      </x:c>
      <x:c r="K17" s="15" t="str">
        <x:f>IF(OR(J17&gt;1,ISNUMBER(SEARCH("兼",I17))),"是","否")</x:f>
        <x:v>否</x:v>
      </x:c>
      <x:c r="L17" s="13" t="str"/>
    </x:row>
    <x:row r="18" ht="26.399999618530273" hidden="0" customHeight="1">
      <x:c r="A18" s="14" t="n">
        <x:v>14</x:v>
      </x:c>
      <x:c r="B18" s="14" t="str">
        <x:v>董事长直管独立单位</x:v>
      </x:c>
      <x:c r="C18" s="14" t="str">
        <x:v>董事长直管独立单位</x:v>
      </x:c>
      <x:c r="D18" s="14" t="str">
        <x:v>工程建设指挥部</x:v>
      </x:c>
      <x:c r="E18" s="14" t="str">
        <x:v>技术支持中心</x:v>
      </x:c>
      <x:c r="F18" s="14" t="str"/>
      <x:c r="G18" s="13" t="str">
        <x:v>股东会 &gt; 董事长直管独立单位 &gt; 工程建设指挥部 &gt; 技术支持中心</x:v>
      </x:c>
      <x:c r="H18" s="15" t="str">
        <x:v>赵星川</x:v>
      </x:c>
      <x:c r="I18" s="15" t="str"/>
      <x:c r="J18" s="15" t="n">
        <x:f>COUNTIF($H$5:$H$229,H18)</x:f>
        <x:v>1</x:v>
      </x:c>
      <x:c r="K18" s="15" t="str">
        <x:f>IF(OR(J18&gt;1,ISNUMBER(SEARCH("兼",I18))),"是","否")</x:f>
        <x:v>否</x:v>
      </x:c>
      <x:c r="L18" s="13" t="str"/>
    </x:row>
    <x:row r="19" ht="26.399999618530273" hidden="0" customHeight="1">
      <x:c r="A19" s="14" t="n">
        <x:v>15</x:v>
      </x:c>
      <x:c r="B19" s="14" t="str">
        <x:v>董事长直管独立单位</x:v>
      </x:c>
      <x:c r="C19" s="14" t="str">
        <x:v>董事长直管独立单位</x:v>
      </x:c>
      <x:c r="D19" s="14" t="str">
        <x:v>工程建设指挥部</x:v>
      </x:c>
      <x:c r="E19" s="14" t="str">
        <x:v>技术支持中心</x:v>
      </x:c>
      <x:c r="F19" s="14" t="str"/>
      <x:c r="G19" s="13" t="str">
        <x:v>股东会 &gt; 董事长直管独立单位 &gt; 工程建设指挥部 &gt; 技术支持中心</x:v>
      </x:c>
      <x:c r="H19" s="15" t="str">
        <x:v>钱宸宇</x:v>
      </x:c>
      <x:c r="I19" s="15" t="str"/>
      <x:c r="J19" s="15" t="n">
        <x:f>COUNTIF($H$5:$H$229,H19)</x:f>
        <x:v>1</x:v>
      </x:c>
      <x:c r="K19" s="15" t="str">
        <x:f>IF(OR(J19&gt;1,ISNUMBER(SEARCH("兼",I19))),"是","否")</x:f>
        <x:v>否</x:v>
      </x:c>
      <x:c r="L19" s="13" t="str"/>
    </x:row>
    <x:row r="20" ht="26.399999618530273" hidden="0" customHeight="1">
      <x:c r="A20" s="14" t="n">
        <x:v>16</x:v>
      </x:c>
      <x:c r="B20" s="14" t="str">
        <x:v>董事长直管独立单位</x:v>
      </x:c>
      <x:c r="C20" s="14" t="str">
        <x:v>董事长直管独立单位</x:v>
      </x:c>
      <x:c r="D20" s="14" t="str">
        <x:v>工程建设指挥部</x:v>
      </x:c>
      <x:c r="E20" s="14" t="str">
        <x:v>生产管理中心</x:v>
      </x:c>
      <x:c r="F20" s="14" t="str"/>
      <x:c r="G20" s="13" t="str">
        <x:v>股东会 &gt; 董事长直管独立单位 &gt; 工程建设指挥部 &gt; 生产管理中心</x:v>
      </x:c>
      <x:c r="H20" s="15" t="str">
        <x:v>孙书航</x:v>
      </x:c>
      <x:c r="I20" s="15" t="str">
        <x:v>总经理</x:v>
      </x:c>
      <x:c r="J20" s="15" t="n">
        <x:f>COUNTIF($H$5:$H$229,H20)</x:f>
        <x:v>1</x:v>
      </x:c>
      <x:c r="K20" s="15" t="str">
        <x:f>IF(OR(J20&gt;1,ISNUMBER(SEARCH("兼",I20))),"是","否")</x:f>
        <x:v>否</x:v>
      </x:c>
      <x:c r="L20" s="13" t="str"/>
    </x:row>
    <x:row r="21" ht="26.399999618530273" hidden="0" customHeight="1">
      <x:c r="A21" s="14" t="n">
        <x:v>17</x:v>
      </x:c>
      <x:c r="B21" s="14" t="str">
        <x:v>董事长直管独立单位</x:v>
      </x:c>
      <x:c r="C21" s="14" t="str">
        <x:v>董事长直管独立单位</x:v>
      </x:c>
      <x:c r="D21" s="14" t="str">
        <x:v>工程建设指挥部</x:v>
      </x:c>
      <x:c r="E21" s="14" t="str">
        <x:v>生产管理中心</x:v>
      </x:c>
      <x:c r="F21" s="14" t="str"/>
      <x:c r="G21" s="13" t="str">
        <x:v>股东会 &gt; 董事长直管独立单位 &gt; 工程建设指挥部 &gt; 生产管理中心</x:v>
      </x:c>
      <x:c r="H21" s="15" t="str">
        <x:v>孙映川</x:v>
      </x:c>
      <x:c r="I21" s="15" t="str"/>
      <x:c r="J21" s="15" t="n">
        <x:f>COUNTIF($H$5:$H$229,H21)</x:f>
        <x:v>1</x:v>
      </x:c>
      <x:c r="K21" s="15" t="str">
        <x:f>IF(OR(J21&gt;1,ISNUMBER(SEARCH("兼",I21))),"是","否")</x:f>
        <x:v>否</x:v>
      </x:c>
      <x:c r="L21" s="13" t="str"/>
    </x:row>
    <x:row r="22" ht="26.399999618530273" hidden="0" customHeight="1">
      <x:c r="A22" s="14" t="n">
        <x:v>18</x:v>
      </x:c>
      <x:c r="B22" s="14" t="str">
        <x:v>董事长直管独立单位</x:v>
      </x:c>
      <x:c r="C22" s="14" t="str">
        <x:v>董事长直管独立单位</x:v>
      </x:c>
      <x:c r="D22" s="14" t="str">
        <x:v>工程建设指挥部</x:v>
      </x:c>
      <x:c r="E22" s="14" t="str">
        <x:v>生产管理中心</x:v>
      </x:c>
      <x:c r="F22" s="14" t="str"/>
      <x:c r="G22" s="13" t="str">
        <x:v>股东会 &gt; 董事长直管独立单位 &gt; 工程建设指挥部 &gt; 生产管理中心</x:v>
      </x:c>
      <x:c r="H22" s="15" t="str">
        <x:v>钱沐辰</x:v>
      </x:c>
      <x:c r="I22" s="15" t="str"/>
      <x:c r="J22" s="15" t="n">
        <x:f>COUNTIF($H$5:$H$229,H22)</x:f>
        <x:v>1</x:v>
      </x:c>
      <x:c r="K22" s="15" t="str">
        <x:f>IF(OR(J22&gt;1,ISNUMBER(SEARCH("兼",I22))),"是","否")</x:f>
        <x:v>否</x:v>
      </x:c>
      <x:c r="L22" s="13" t="str"/>
    </x:row>
    <x:row r="23" ht="26.399999618530273" hidden="0" customHeight="1">
      <x:c r="A23" s="14" t="n">
        <x:v>19</x:v>
      </x:c>
      <x:c r="B23" s="14" t="str">
        <x:v>董事长直管独立单位</x:v>
      </x:c>
      <x:c r="C23" s="14" t="str">
        <x:v>董事长直管独立单位</x:v>
      </x:c>
      <x:c r="D23" s="14" t="str">
        <x:v>工程建设指挥部</x:v>
      </x:c>
      <x:c r="E23" s="14" t="str">
        <x:v>生产管理中心</x:v>
      </x:c>
      <x:c r="F23" s="14" t="str"/>
      <x:c r="G23" s="13" t="str">
        <x:v>股东会 &gt; 董事长直管独立单位 &gt; 工程建设指挥部 &gt; 生产管理中心</x:v>
      </x:c>
      <x:c r="H23" s="15" t="str">
        <x:v>孙云舟</x:v>
      </x:c>
      <x:c r="I23" s="15" t="str"/>
      <x:c r="J23" s="15" t="n">
        <x:f>COUNTIF($H$5:$H$229,H23)</x:f>
        <x:v>1</x:v>
      </x:c>
      <x:c r="K23" s="15" t="str">
        <x:f>IF(OR(J23&gt;1,ISNUMBER(SEARCH("兼",I23))),"是","否")</x:f>
        <x:v>否</x:v>
      </x:c>
      <x:c r="L23" s="13" t="str"/>
    </x:row>
    <x:row r="24" ht="26.399999618530273" hidden="0" customHeight="1">
      <x:c r="A24" s="14" t="n">
        <x:v>20</x:v>
      </x:c>
      <x:c r="B24" s="14" t="str">
        <x:v>董事长直管独立单位</x:v>
      </x:c>
      <x:c r="C24" s="14" t="str">
        <x:v>董事长直管独立单位</x:v>
      </x:c>
      <x:c r="D24" s="14" t="str">
        <x:v>工程建设指挥部</x:v>
      </x:c>
      <x:c r="E24" s="14" t="str">
        <x:v>生产管理中心</x:v>
      </x:c>
      <x:c r="F24" s="14" t="str"/>
      <x:c r="G24" s="13" t="str">
        <x:v>股东会 &gt; 董事长直管独立单位 &gt; 工程建设指挥部 &gt; 生产管理中心</x:v>
      </x:c>
      <x:c r="H24" s="15" t="str">
        <x:v>孙知远</x:v>
      </x:c>
      <x:c r="I24" s="15" t="str"/>
      <x:c r="J24" s="15" t="n">
        <x:f>COUNTIF($H$5:$H$229,H24)</x:f>
        <x:v>1</x:v>
      </x:c>
      <x:c r="K24" s="15" t="str">
        <x:f>IF(OR(J24&gt;1,ISNUMBER(SEARCH("兼",I24))),"是","否")</x:f>
        <x:v>否</x:v>
      </x:c>
      <x:c r="L24" s="13" t="str"/>
    </x:row>
    <x:row r="25" ht="26.399999618530273" hidden="0" customHeight="1">
      <x:c r="A25" s="14" t="n">
        <x:v>21</x:v>
      </x:c>
      <x:c r="B25" s="14" t="str">
        <x:v>董事长直管独立单位</x:v>
      </x:c>
      <x:c r="C25" s="14" t="str">
        <x:v>董事长直管独立单位</x:v>
      </x:c>
      <x:c r="D25" s="14" t="str">
        <x:v>工程建设指挥部</x:v>
      </x:c>
      <x:c r="E25" s="14" t="str">
        <x:v>生产管理中心</x:v>
      </x:c>
      <x:c r="F25" s="14" t="str"/>
      <x:c r="G25" s="13" t="str">
        <x:v>股东会 &gt; 董事长直管独立单位 &gt; 工程建设指挥部 &gt; 生产管理中心</x:v>
      </x:c>
      <x:c r="H25" s="15" t="str">
        <x:v>孙沐辰</x:v>
      </x:c>
      <x:c r="I25" s="15" t="str"/>
      <x:c r="J25" s="15" t="n">
        <x:f>COUNTIF($H$5:$H$229,H25)</x:f>
        <x:v>1</x:v>
      </x:c>
      <x:c r="K25" s="15" t="str">
        <x:f>IF(OR(J25&gt;1,ISNUMBER(SEARCH("兼",I25))),"是","否")</x:f>
        <x:v>否</x:v>
      </x:c>
      <x:c r="L25" s="13" t="str"/>
    </x:row>
    <x:row r="26" ht="26.399999618530273" hidden="0" customHeight="1">
      <x:c r="A26" s="14" t="n">
        <x:v>22</x:v>
      </x:c>
      <x:c r="B26" s="14" t="str">
        <x:v>董事长直管独立单位</x:v>
      </x:c>
      <x:c r="C26" s="14" t="str">
        <x:v>董事长直管独立单位</x:v>
      </x:c>
      <x:c r="D26" s="14" t="str">
        <x:v>工程建设指挥部</x:v>
      </x:c>
      <x:c r="E26" s="14" t="str">
        <x:v>维修管理中心</x:v>
      </x:c>
      <x:c r="F26" s="14" t="str"/>
      <x:c r="G26" s="13" t="str">
        <x:v>股东会 &gt; 董事长直管独立单位 &gt; 工程建设指挥部 &gt; 维修管理中心</x:v>
      </x:c>
      <x:c r="H26" s="15" t="str">
        <x:v>赵思源</x:v>
      </x:c>
      <x:c r="I26" s="15" t="str">
        <x:v>总经理</x:v>
      </x:c>
      <x:c r="J26" s="15" t="n">
        <x:f>COUNTIF($H$5:$H$229,H26)</x:f>
        <x:v>1</x:v>
      </x:c>
      <x:c r="K26" s="15" t="str">
        <x:f>IF(OR(J26&gt;1,ISNUMBER(SEARCH("兼",I26))),"是","否")</x:f>
        <x:v>否</x:v>
      </x:c>
      <x:c r="L26" s="13" t="str"/>
    </x:row>
    <x:row r="27" ht="26.399999618530273" hidden="0" customHeight="1">
      <x:c r="A27" s="14" t="n">
        <x:v>23</x:v>
      </x:c>
      <x:c r="B27" s="14" t="str">
        <x:v>董事长直管独立单位</x:v>
      </x:c>
      <x:c r="C27" s="14" t="str">
        <x:v>董事长直管独立单位</x:v>
      </x:c>
      <x:c r="D27" s="14" t="str">
        <x:v>工程建设指挥部</x:v>
      </x:c>
      <x:c r="E27" s="14" t="str">
        <x:v>维修管理中心</x:v>
      </x:c>
      <x:c r="F27" s="14" t="str"/>
      <x:c r="G27" s="13" t="str">
        <x:v>股东会 &gt; 董事长直管独立单位 &gt; 工程建设指挥部 &gt; 维修管理中心</x:v>
      </x:c>
      <x:c r="H27" s="15" t="str">
        <x:v>赵逸凡</x:v>
      </x:c>
      <x:c r="I27" s="15" t="str">
        <x:v>经理</x:v>
      </x:c>
      <x:c r="J27" s="15" t="n">
        <x:f>COUNTIF($H$5:$H$229,H27)</x:f>
        <x:v>1</x:v>
      </x:c>
      <x:c r="K27" s="15" t="str">
        <x:f>IF(OR(J27&gt;1,ISNUMBER(SEARCH("兼",I27))),"是","否")</x:f>
        <x:v>否</x:v>
      </x:c>
      <x:c r="L27" s="13" t="str"/>
    </x:row>
    <x:row r="28" ht="26.399999618530273" hidden="0" customHeight="1">
      <x:c r="A28" s="14" t="n">
        <x:v>24</x:v>
      </x:c>
      <x:c r="B28" s="14" t="str">
        <x:v>董事长直管独立单位</x:v>
      </x:c>
      <x:c r="C28" s="14" t="str">
        <x:v>董事长直管独立单位</x:v>
      </x:c>
      <x:c r="D28" s="14" t="str">
        <x:v>工程建设指挥部</x:v>
      </x:c>
      <x:c r="E28" s="14" t="str">
        <x:v>维修管理中心</x:v>
      </x:c>
      <x:c r="F28" s="14" t="str"/>
      <x:c r="G28" s="13" t="str">
        <x:v>股东会 &gt; 董事长直管独立单位 &gt; 工程建设指挥部 &gt; 维修管理中心</x:v>
      </x:c>
      <x:c r="H28" s="15" t="str">
        <x:v>钱乐川</x:v>
      </x:c>
      <x:c r="I28" s="15" t="str"/>
      <x:c r="J28" s="15" t="n">
        <x:f>COUNTIF($H$5:$H$229,H28)</x:f>
        <x:v>1</x:v>
      </x:c>
      <x:c r="K28" s="15" t="str">
        <x:f>IF(OR(J28&gt;1,ISNUMBER(SEARCH("兼",I28))),"是","否")</x:f>
        <x:v>否</x:v>
      </x:c>
      <x:c r="L28" s="13" t="str"/>
    </x:row>
    <x:row r="29" ht="26.399999618530273" hidden="0" customHeight="1">
      <x:c r="A29" s="14" t="n">
        <x:v>25</x:v>
      </x:c>
      <x:c r="B29" s="14" t="str">
        <x:v>董事长直管独立单位</x:v>
      </x:c>
      <x:c r="C29" s="14" t="str">
        <x:v>董事长直管独立单位</x:v>
      </x:c>
      <x:c r="D29" s="14" t="str">
        <x:v>工程建设指挥部</x:v>
      </x:c>
      <x:c r="E29" s="14" t="str">
        <x:v>维修管理中心</x:v>
      </x:c>
      <x:c r="F29" s="14" t="str"/>
      <x:c r="G29" s="13" t="str">
        <x:v>股东会 &gt; 董事长直管独立单位 &gt; 工程建设指挥部 &gt; 维修管理中心</x:v>
      </x:c>
      <x:c r="H29" s="15" t="str">
        <x:v>孙明远</x:v>
      </x:c>
      <x:c r="I29" s="15" t="str"/>
      <x:c r="J29" s="15" t="n">
        <x:f>COUNTIF($H$5:$H$229,H29)</x:f>
        <x:v>1</x:v>
      </x:c>
      <x:c r="K29" s="15" t="str">
        <x:f>IF(OR(J29&gt;1,ISNUMBER(SEARCH("兼",I29))),"是","否")</x:f>
        <x:v>否</x:v>
      </x:c>
      <x:c r="L29" s="13" t="str"/>
    </x:row>
    <x:row r="30" ht="26.399999618530273" hidden="0" customHeight="1">
      <x:c r="A30" s="14" t="n">
        <x:v>26</x:v>
      </x:c>
      <x:c r="B30" s="14" t="str">
        <x:v>董事长直管独立单位</x:v>
      </x:c>
      <x:c r="C30" s="14" t="str">
        <x:v>董事长直管独立单位</x:v>
      </x:c>
      <x:c r="D30" s="14" t="str">
        <x:v>工程建设指挥部</x:v>
      </x:c>
      <x:c r="E30" s="14" t="str">
        <x:v>维修管理中心</x:v>
      </x:c>
      <x:c r="F30" s="14" t="str"/>
      <x:c r="G30" s="13" t="str">
        <x:v>股东会 &gt; 董事长直管独立单位 &gt; 工程建设指挥部 &gt; 维修管理中心</x:v>
      </x:c>
      <x:c r="H30" s="15" t="str">
        <x:v>周乐川</x:v>
      </x:c>
      <x:c r="I30" s="15" t="str"/>
      <x:c r="J30" s="15" t="n">
        <x:f>COUNTIF($H$5:$H$229,H30)</x:f>
        <x:v>1</x:v>
      </x:c>
      <x:c r="K30" s="15" t="str">
        <x:f>IF(OR(J30&gt;1,ISNUMBER(SEARCH("兼",I30))),"是","否")</x:f>
        <x:v>否</x:v>
      </x:c>
      <x:c r="L30" s="13" t="str"/>
    </x:row>
    <x:row r="31" ht="26.399999618530273" hidden="0" customHeight="1">
      <x:c r="A31" s="14" t="n">
        <x:v>27</x:v>
      </x:c>
      <x:c r="B31" s="14" t="str">
        <x:v>董事长直管独立单位</x:v>
      </x:c>
      <x:c r="C31" s="14" t="str">
        <x:v>董事长直管独立单位</x:v>
      </x:c>
      <x:c r="D31" s="14" t="str">
        <x:v>工程建设指挥部</x:v>
      </x:c>
      <x:c r="E31" s="14" t="str">
        <x:v>维修管理中心</x:v>
      </x:c>
      <x:c r="F31" s="14" t="str"/>
      <x:c r="G31" s="13" t="str">
        <x:v>股东会 &gt; 董事长直管独立单位 &gt; 工程建设指挥部 &gt; 维修管理中心</x:v>
      </x:c>
      <x:c r="H31" s="15" t="str">
        <x:v>周嘉言</x:v>
      </x:c>
      <x:c r="I31" s="15" t="str"/>
      <x:c r="J31" s="15" t="n">
        <x:f>COUNTIF($H$5:$H$229,H31)</x:f>
        <x:v>1</x:v>
      </x:c>
      <x:c r="K31" s="15" t="str">
        <x:f>IF(OR(J31&gt;1,ISNUMBER(SEARCH("兼",I31))),"是","否")</x:f>
        <x:v>否</x:v>
      </x:c>
      <x:c r="L31" s="13" t="str"/>
    </x:row>
    <x:row r="32" ht="26.399999618530273" hidden="0" customHeight="1">
      <x:c r="A32" s="14" t="n">
        <x:v>28</x:v>
      </x:c>
      <x:c r="B32" s="14" t="str">
        <x:v>董事长直管独立单位</x:v>
      </x:c>
      <x:c r="C32" s="14" t="str">
        <x:v>董事长直管独立单位</x:v>
      </x:c>
      <x:c r="D32" s="14" t="str">
        <x:v>工程建设指挥部</x:v>
      </x:c>
      <x:c r="E32" s="14" t="str">
        <x:v>维修管理中心</x:v>
      </x:c>
      <x:c r="F32" s="14" t="str"/>
      <x:c r="G32" s="13" t="str">
        <x:v>股东会 &gt; 董事长直管独立单位 &gt; 工程建设指挥部 &gt; 维修管理中心</x:v>
      </x:c>
      <x:c r="H32" s="15" t="str">
        <x:v>郑宸宇</x:v>
      </x:c>
      <x:c r="I32" s="15" t="str"/>
      <x:c r="J32" s="15" t="n">
        <x:f>COUNTIF($H$5:$H$229,H32)</x:f>
        <x:v>1</x:v>
      </x:c>
      <x:c r="K32" s="15" t="str">
        <x:f>IF(OR(J32&gt;1,ISNUMBER(SEARCH("兼",I32))),"是","否")</x:f>
        <x:v>否</x:v>
      </x:c>
      <x:c r="L32" s="13" t="str"/>
    </x:row>
    <x:row r="33" ht="15" hidden="0" customHeight="1">
      <x:c r="A33" s="14" t="n">
        <x:v>29</x:v>
      </x:c>
      <x:c r="B33" s="14" t="str">
        <x:v>董事长直管独立单位</x:v>
      </x:c>
      <x:c r="C33" s="14" t="str">
        <x:v>董事长直管独立单位</x:v>
      </x:c>
      <x:c r="D33" s="14" t="str">
        <x:v>宁波善财商贸有限公司</x:v>
      </x:c>
      <x:c r="E33" s="14" t="str"/>
      <x:c r="F33" s="14" t="str"/>
      <x:c r="G33" s="13" t="str">
        <x:v>股东会 &gt; 董事长直管独立单位 &gt; 宁波善财商贸有限公司</x:v>
      </x:c>
      <x:c r="H33" s="15" t="str">
        <x:v>赵嘉树</x:v>
      </x:c>
      <x:c r="I33" s="15" t="str">
        <x:v>总经理</x:v>
      </x:c>
      <x:c r="J33" s="15" t="n">
        <x:f>COUNTIF($H$5:$H$229,H33)</x:f>
        <x:v>1</x:v>
      </x:c>
      <x:c r="K33" s="15" t="str">
        <x:f>IF(OR(J33&gt;1,ISNUMBER(SEARCH("兼",I33))),"是","否")</x:f>
        <x:v>否</x:v>
      </x:c>
      <x:c r="L33" s="13" t="str"/>
    </x:row>
    <x:row r="34" ht="15" hidden="0" customHeight="1">
      <x:c r="A34" s="14" t="n">
        <x:v>30</x:v>
      </x:c>
      <x:c r="B34" s="14" t="str">
        <x:v>董事长直管独立单位</x:v>
      </x:c>
      <x:c r="C34" s="14" t="str">
        <x:v>董事长直管独立单位</x:v>
      </x:c>
      <x:c r="D34" s="14" t="str">
        <x:v>财人中心</x:v>
      </x:c>
      <x:c r="E34" s="14" t="str">
        <x:v>中心管理</x:v>
      </x:c>
      <x:c r="F34" s="14" t="str"/>
      <x:c r="G34" s="13" t="str">
        <x:v>股东会 &gt; 董事长直管独立单位 &gt; 财人中心 &gt; 中心管理</x:v>
      </x:c>
      <x:c r="H34" s="15" t="str">
        <x:v>赵景和</x:v>
      </x:c>
      <x:c r="I34" s="15" t="str">
        <x:v>总经理</x:v>
      </x:c>
      <x:c r="J34" s="15" t="n">
        <x:f>COUNTIF($H$5:$H$229,H34)</x:f>
        <x:v>2</x:v>
      </x:c>
      <x:c r="K34" s="15" t="str">
        <x:f>IF(OR(J34&gt;1,ISNUMBER(SEARCH("兼",I34))),"是","否")</x:f>
        <x:v>是</x:v>
      </x:c>
      <x:c r="L34" s="13" t="str"/>
    </x:row>
    <x:row r="35" ht="15" hidden="0" customHeight="1">
      <x:c r="A35" s="14" t="n">
        <x:v>31</x:v>
      </x:c>
      <x:c r="B35" s="14" t="str">
        <x:v>董事长直管独立单位</x:v>
      </x:c>
      <x:c r="C35" s="14" t="str">
        <x:v>董事长直管独立单位</x:v>
      </x:c>
      <x:c r="D35" s="14" t="str">
        <x:v>财人中心</x:v>
      </x:c>
      <x:c r="E35" s="14" t="str">
        <x:v>中心管理</x:v>
      </x:c>
      <x:c r="F35" s="14" t="str"/>
      <x:c r="G35" s="13" t="str">
        <x:v>股东会 &gt; 董事长直管独立单位 &gt; 财人中心 &gt; 中心管理</x:v>
      </x:c>
      <x:c r="H35" s="15" t="str">
        <x:v>赵明远</x:v>
      </x:c>
      <x:c r="I35" s="15" t="str">
        <x:v>副总经理</x:v>
      </x:c>
      <x:c r="J35" s="15" t="n">
        <x:f>COUNTIF($H$5:$H$229,H35)</x:f>
        <x:v>1</x:v>
      </x:c>
      <x:c r="K35" s="15" t="str">
        <x:f>IF(OR(J35&gt;1,ISNUMBER(SEARCH("兼",I35))),"是","否")</x:f>
        <x:v>否</x:v>
      </x:c>
      <x:c r="L35" s="13" t="str"/>
    </x:row>
    <x:row r="36" ht="15" hidden="0" customHeight="1">
      <x:c r="A36" s="14" t="n">
        <x:v>32</x:v>
      </x:c>
      <x:c r="B36" s="14" t="str">
        <x:v>董事长直管独立单位</x:v>
      </x:c>
      <x:c r="C36" s="14" t="str">
        <x:v>董事长直管独立单位</x:v>
      </x:c>
      <x:c r="D36" s="14" t="str">
        <x:v>财人中心</x:v>
      </x:c>
      <x:c r="E36" s="14" t="str">
        <x:v>中心管理</x:v>
      </x:c>
      <x:c r="F36" s="14" t="str"/>
      <x:c r="G36" s="13" t="str">
        <x:v>股东会 &gt; 董事长直管独立单位 &gt; 财人中心 &gt; 中心管理</x:v>
      </x:c>
      <x:c r="H36" s="15" t="str">
        <x:v>周知远</x:v>
      </x:c>
      <x:c r="I36" s="15" t="str">
        <x:v>副总经理</x:v>
      </x:c>
      <x:c r="J36" s="15" t="n">
        <x:f>COUNTIF($H$5:$H$229,H36)</x:f>
        <x:v>3</x:v>
      </x:c>
      <x:c r="K36" s="15" t="str">
        <x:f>IF(OR(J36&gt;1,ISNUMBER(SEARCH("兼",I36))),"是","否")</x:f>
        <x:v>是</x:v>
      </x:c>
      <x:c r="L36" s="13" t="str"/>
    </x:row>
    <x:row r="37" ht="15" hidden="0" customHeight="1">
      <x:c r="A37" s="14" t="n">
        <x:v>33</x:v>
      </x:c>
      <x:c r="B37" s="14" t="str">
        <x:v>董事长直管独立单位</x:v>
      </x:c>
      <x:c r="C37" s="14" t="str">
        <x:v>董事长直管独立单位</x:v>
      </x:c>
      <x:c r="D37" s="14" t="str">
        <x:v>财人中心</x:v>
      </x:c>
      <x:c r="E37" s="14" t="str">
        <x:v>财务部</x:v>
      </x:c>
      <x:c r="F37" s="14" t="str"/>
      <x:c r="G37" s="13" t="str">
        <x:v>股东会 &gt; 董事长直管独立单位 &gt; 财人中心 &gt; 财务部</x:v>
      </x:c>
      <x:c r="H37" s="15" t="str">
        <x:v>孙景行</x:v>
      </x:c>
      <x:c r="I37" s="15" t="str"/>
      <x:c r="J37" s="15" t="n">
        <x:f>COUNTIF($H$5:$H$229,H37)</x:f>
        <x:v>1</x:v>
      </x:c>
      <x:c r="K37" s="15" t="str">
        <x:f>IF(OR(J37&gt;1,ISNUMBER(SEARCH("兼",I37))),"是","否")</x:f>
        <x:v>否</x:v>
      </x:c>
      <x:c r="L37" s="13" t="str"/>
    </x:row>
    <x:row r="38" ht="15" hidden="0" customHeight="1">
      <x:c r="A38" s="14" t="n">
        <x:v>34</x:v>
      </x:c>
      <x:c r="B38" s="14" t="str">
        <x:v>董事长直管独立单位</x:v>
      </x:c>
      <x:c r="C38" s="14" t="str">
        <x:v>董事长直管独立单位</x:v>
      </x:c>
      <x:c r="D38" s="14" t="str">
        <x:v>财人中心</x:v>
      </x:c>
      <x:c r="E38" s="14" t="str">
        <x:v>财务部</x:v>
      </x:c>
      <x:c r="F38" s="14" t="str"/>
      <x:c r="G38" s="13" t="str">
        <x:v>股东会 &gt; 董事长直管独立单位 &gt; 财人中心 &gt; 财务部</x:v>
      </x:c>
      <x:c r="H38" s="15" t="str">
        <x:v>褚卓然</x:v>
      </x:c>
      <x:c r="I38" s="15" t="str"/>
      <x:c r="J38" s="15" t="n">
        <x:f>COUNTIF($H$5:$H$229,H38)</x:f>
        <x:v>1</x:v>
      </x:c>
      <x:c r="K38" s="15" t="str">
        <x:f>IF(OR(J38&gt;1,ISNUMBER(SEARCH("兼",I38))),"是","否")</x:f>
        <x:v>否</x:v>
      </x:c>
      <x:c r="L38" s="13" t="str"/>
    </x:row>
    <x:row r="39" ht="15" hidden="0" customHeight="1">
      <x:c r="A39" s="14" t="n">
        <x:v>35</x:v>
      </x:c>
      <x:c r="B39" s="14" t="str">
        <x:v>董事长直管独立单位</x:v>
      </x:c>
      <x:c r="C39" s="14" t="str">
        <x:v>董事长直管独立单位</x:v>
      </x:c>
      <x:c r="D39" s="14" t="str">
        <x:v>财人中心</x:v>
      </x:c>
      <x:c r="E39" s="14" t="str">
        <x:v>财务部</x:v>
      </x:c>
      <x:c r="F39" s="14" t="str"/>
      <x:c r="G39" s="13" t="str">
        <x:v>股东会 &gt; 董事长直管独立单位 &gt; 财人中心 &gt; 财务部</x:v>
      </x:c>
      <x:c r="H39" s="15" t="str">
        <x:v>钱安宁</x:v>
      </x:c>
      <x:c r="I39" s="15" t="str"/>
      <x:c r="J39" s="15" t="n">
        <x:f>COUNTIF($H$5:$H$229,H39)</x:f>
        <x:v>1</x:v>
      </x:c>
      <x:c r="K39" s="15" t="str">
        <x:f>IF(OR(J39&gt;1,ISNUMBER(SEARCH("兼",I39))),"是","否")</x:f>
        <x:v>否</x:v>
      </x:c>
      <x:c r="L39" s="13" t="str"/>
    </x:row>
    <x:row r="40" ht="15" hidden="0" customHeight="1">
      <x:c r="A40" s="14" t="n">
        <x:v>36</x:v>
      </x:c>
      <x:c r="B40" s="14" t="str">
        <x:v>董事长直管独立单位</x:v>
      </x:c>
      <x:c r="C40" s="14" t="str">
        <x:v>董事长直管独立单位</x:v>
      </x:c>
      <x:c r="D40" s="14" t="str">
        <x:v>财人中心</x:v>
      </x:c>
      <x:c r="E40" s="14" t="str">
        <x:v>财务部</x:v>
      </x:c>
      <x:c r="F40" s="14" t="str"/>
      <x:c r="G40" s="13" t="str">
        <x:v>股东会 &gt; 董事长直管独立单位 &gt; 财人中心 &gt; 财务部</x:v>
      </x:c>
      <x:c r="H40" s="15" t="str">
        <x:v>孙卓然</x:v>
      </x:c>
      <x:c r="I40" s="15" t="str"/>
      <x:c r="J40" s="15" t="n">
        <x:f>COUNTIF($H$5:$H$229,H40)</x:f>
        <x:v>1</x:v>
      </x:c>
      <x:c r="K40" s="15" t="str">
        <x:f>IF(OR(J40&gt;1,ISNUMBER(SEARCH("兼",I40))),"是","否")</x:f>
        <x:v>否</x:v>
      </x:c>
      <x:c r="L40" s="13" t="str"/>
    </x:row>
    <x:row r="41" ht="15" hidden="0" customHeight="1">
      <x:c r="A41" s="14" t="n">
        <x:v>37</x:v>
      </x:c>
      <x:c r="B41" s="14" t="str">
        <x:v>董事长直管独立单位</x:v>
      </x:c>
      <x:c r="C41" s="14" t="str">
        <x:v>董事长直管独立单位</x:v>
      </x:c>
      <x:c r="D41" s="14" t="str">
        <x:v>财人中心</x:v>
      </x:c>
      <x:c r="E41" s="14" t="str">
        <x:v>财务部</x:v>
      </x:c>
      <x:c r="F41" s="14" t="str"/>
      <x:c r="G41" s="13" t="str">
        <x:v>股东会 &gt; 董事长直管独立单位 &gt; 财人中心 &gt; 财务部</x:v>
      </x:c>
      <x:c r="H41" s="15" t="str">
        <x:v>周允禾</x:v>
      </x:c>
      <x:c r="I41" s="15" t="str"/>
      <x:c r="J41" s="15" t="n">
        <x:f>COUNTIF($H$5:$H$229,H41)</x:f>
        <x:v>1</x:v>
      </x:c>
      <x:c r="K41" s="15" t="str">
        <x:f>IF(OR(J41&gt;1,ISNUMBER(SEARCH("兼",I41))),"是","否")</x:f>
        <x:v>否</x:v>
      </x:c>
      <x:c r="L41" s="13" t="str"/>
    </x:row>
    <x:row r="42" ht="15" hidden="0" customHeight="1">
      <x:c r="A42" s="14" t="n">
        <x:v>38</x:v>
      </x:c>
      <x:c r="B42" s="14" t="str">
        <x:v>董事长直管独立单位</x:v>
      </x:c>
      <x:c r="C42" s="14" t="str">
        <x:v>董事长直管独立单位</x:v>
      </x:c>
      <x:c r="D42" s="14" t="str">
        <x:v>财人中心</x:v>
      </x:c>
      <x:c r="E42" s="14" t="str">
        <x:v>财务部</x:v>
      </x:c>
      <x:c r="F42" s="14" t="str"/>
      <x:c r="G42" s="13" t="str">
        <x:v>股东会 &gt; 董事长直管独立单位 &gt; 财人中心 &gt; 财务部</x:v>
      </x:c>
      <x:c r="H42" s="15" t="str">
        <x:v>孙嘉树</x:v>
      </x:c>
      <x:c r="I42" s="15" t="str"/>
      <x:c r="J42" s="15" t="n">
        <x:f>COUNTIF($H$5:$H$229,H42)</x:f>
        <x:v>1</x:v>
      </x:c>
      <x:c r="K42" s="15" t="str">
        <x:f>IF(OR(J42&gt;1,ISNUMBER(SEARCH("兼",I42))),"是","否")</x:f>
        <x:v>否</x:v>
      </x:c>
      <x:c r="L42" s="13" t="str"/>
    </x:row>
    <x:row r="43" ht="15" hidden="0" customHeight="1">
      <x:c r="A43" s="14" t="n">
        <x:v>39</x:v>
      </x:c>
      <x:c r="B43" s="14" t="str">
        <x:v>董事长直管独立单位</x:v>
      </x:c>
      <x:c r="C43" s="14" t="str">
        <x:v>董事长直管独立单位</x:v>
      </x:c>
      <x:c r="D43" s="14" t="str">
        <x:v>财人中心</x:v>
      </x:c>
      <x:c r="E43" s="14" t="str">
        <x:v>财务部</x:v>
      </x:c>
      <x:c r="F43" s="14" t="str"/>
      <x:c r="G43" s="13" t="str">
        <x:v>股东会 &gt; 董事长直管独立单位 &gt; 财人中心 &gt; 财务部</x:v>
      </x:c>
      <x:c r="H43" s="15" t="str">
        <x:v>钱景和</x:v>
      </x:c>
      <x:c r="I43" s="15" t="str"/>
      <x:c r="J43" s="15" t="n">
        <x:f>COUNTIF($H$5:$H$229,H43)</x:f>
        <x:v>1</x:v>
      </x:c>
      <x:c r="K43" s="15" t="str">
        <x:f>IF(OR(J43&gt;1,ISNUMBER(SEARCH("兼",I43))),"是","否")</x:f>
        <x:v>否</x:v>
      </x:c>
      <x:c r="L43" s="13" t="str"/>
    </x:row>
    <x:row r="44" ht="15" hidden="0" customHeight="1">
      <x:c r="A44" s="14" t="n">
        <x:v>40</x:v>
      </x:c>
      <x:c r="B44" s="14" t="str">
        <x:v>董事长直管独立单位</x:v>
      </x:c>
      <x:c r="C44" s="14" t="str">
        <x:v>董事长直管独立单位</x:v>
      </x:c>
      <x:c r="D44" s="14" t="str">
        <x:v>财人中心</x:v>
      </x:c>
      <x:c r="E44" s="14" t="str">
        <x:v>财务部</x:v>
      </x:c>
      <x:c r="F44" s="14" t="str"/>
      <x:c r="G44" s="13" t="str">
        <x:v>股东会 &gt; 董事长直管独立单位 &gt; 财人中心 &gt; 财务部</x:v>
      </x:c>
      <x:c r="H44" s="15" t="str">
        <x:v>周景和</x:v>
      </x:c>
      <x:c r="I44" s="15" t="str"/>
      <x:c r="J44" s="15" t="n">
        <x:f>COUNTIF($H$5:$H$229,H44)</x:f>
        <x:v>1</x:v>
      </x:c>
      <x:c r="K44" s="15" t="str">
        <x:f>IF(OR(J44&gt;1,ISNUMBER(SEARCH("兼",I44))),"是","否")</x:f>
        <x:v>否</x:v>
      </x:c>
      <x:c r="L44" s="13" t="str"/>
    </x:row>
    <x:row r="45" ht="15" hidden="0" customHeight="1">
      <x:c r="A45" s="14" t="n">
        <x:v>41</x:v>
      </x:c>
      <x:c r="B45" s="14" t="str">
        <x:v>董事长直管独立单位</x:v>
      </x:c>
      <x:c r="C45" s="14" t="str">
        <x:v>董事长直管独立单位</x:v>
      </x:c>
      <x:c r="D45" s="14" t="str">
        <x:v>财人中心</x:v>
      </x:c>
      <x:c r="E45" s="14" t="str">
        <x:v>财务部</x:v>
      </x:c>
      <x:c r="F45" s="14" t="str"/>
      <x:c r="G45" s="13" t="str">
        <x:v>股东会 &gt; 董事长直管独立单位 &gt; 财人中心 &gt; 财务部</x:v>
      </x:c>
      <x:c r="H45" s="15" t="str">
        <x:v>郑语桐</x:v>
      </x:c>
      <x:c r="I45" s="15" t="str"/>
      <x:c r="J45" s="15" t="n">
        <x:f>COUNTIF($H$5:$H$229,H45)</x:f>
        <x:v>1</x:v>
      </x:c>
      <x:c r="K45" s="15" t="str">
        <x:f>IF(OR(J45&gt;1,ISNUMBER(SEARCH("兼",I45))),"是","否")</x:f>
        <x:v>否</x:v>
      </x:c>
      <x:c r="L45" s="13" t="str"/>
    </x:row>
    <x:row r="46" ht="15" hidden="0" customHeight="1">
      <x:c r="A46" s="14" t="n">
        <x:v>42</x:v>
      </x:c>
      <x:c r="B46" s="14" t="str">
        <x:v>董事长直管独立单位</x:v>
      </x:c>
      <x:c r="C46" s="14" t="str">
        <x:v>董事长直管独立单位</x:v>
      </x:c>
      <x:c r="D46" s="14" t="str">
        <x:v>财人中心</x:v>
      </x:c>
      <x:c r="E46" s="14" t="str">
        <x:v>财务部</x:v>
      </x:c>
      <x:c r="F46" s="14" t="str"/>
      <x:c r="G46" s="13" t="str">
        <x:v>股东会 &gt; 董事长直管独立单位 &gt; 财人中心 &gt; 财务部</x:v>
      </x:c>
      <x:c r="H46" s="15" t="str">
        <x:v>褚宸宇</x:v>
      </x:c>
      <x:c r="I46" s="15" t="str"/>
      <x:c r="J46" s="15" t="n">
        <x:f>COUNTIF($H$5:$H$229,H46)</x:f>
        <x:v>1</x:v>
      </x:c>
      <x:c r="K46" s="15" t="str">
        <x:f>IF(OR(J46&gt;1,ISNUMBER(SEARCH("兼",I46))),"是","否")</x:f>
        <x:v>否</x:v>
      </x:c>
      <x:c r="L46" s="13" t="str"/>
    </x:row>
    <x:row r="47" ht="15" hidden="0" customHeight="1">
      <x:c r="A47" s="14" t="n">
        <x:v>43</x:v>
      </x:c>
      <x:c r="B47" s="14" t="str">
        <x:v>董事长直管独立单位</x:v>
      </x:c>
      <x:c r="C47" s="14" t="str">
        <x:v>董事长直管独立单位</x:v>
      </x:c>
      <x:c r="D47" s="14" t="str">
        <x:v>财人中心</x:v>
      </x:c>
      <x:c r="E47" s="14" t="str">
        <x:v>财务部</x:v>
      </x:c>
      <x:c r="F47" s="14" t="str"/>
      <x:c r="G47" s="13" t="str">
        <x:v>股东会 &gt; 董事长直管独立单位 &gt; 财人中心 &gt; 财务部</x:v>
      </x:c>
      <x:c r="H47" s="15" t="str">
        <x:v>卫知远</x:v>
      </x:c>
      <x:c r="I47" s="15" t="str"/>
      <x:c r="J47" s="15" t="n">
        <x:f>COUNTIF($H$5:$H$229,H47)</x:f>
        <x:v>1</x:v>
      </x:c>
      <x:c r="K47" s="15" t="str">
        <x:f>IF(OR(J47&gt;1,ISNUMBER(SEARCH("兼",I47))),"是","否")</x:f>
        <x:v>否</x:v>
      </x:c>
      <x:c r="L47" s="13" t="str"/>
    </x:row>
    <x:row r="48" ht="15" hidden="0" customHeight="1">
      <x:c r="A48" s="14" t="n">
        <x:v>44</x:v>
      </x:c>
      <x:c r="B48" s="14" t="str">
        <x:v>董事长直管独立单位</x:v>
      </x:c>
      <x:c r="C48" s="14" t="str">
        <x:v>董事长直管独立单位</x:v>
      </x:c>
      <x:c r="D48" s="14" t="str">
        <x:v>财人中心</x:v>
      </x:c>
      <x:c r="E48" s="14" t="str">
        <x:v>财务部</x:v>
      </x:c>
      <x:c r="F48" s="14" t="str"/>
      <x:c r="G48" s="13" t="str">
        <x:v>股东会 &gt; 董事长直管独立单位 &gt; 财人中心 &gt; 财务部</x:v>
      </x:c>
      <x:c r="H48" s="15" t="str">
        <x:v>卫星川</x:v>
      </x:c>
      <x:c r="I48" s="15" t="str"/>
      <x:c r="J48" s="15" t="n">
        <x:f>COUNTIF($H$5:$H$229,H48)</x:f>
        <x:v>1</x:v>
      </x:c>
      <x:c r="K48" s="15" t="str">
        <x:f>IF(OR(J48&gt;1,ISNUMBER(SEARCH("兼",I48))),"是","否")</x:f>
        <x:v>否</x:v>
      </x:c>
      <x:c r="L48" s="13" t="str"/>
    </x:row>
    <x:row r="49" ht="15" hidden="0" customHeight="1">
      <x:c r="A49" s="14" t="n">
        <x:v>45</x:v>
      </x:c>
      <x:c r="B49" s="14" t="str">
        <x:v>董事长直管独立单位</x:v>
      </x:c>
      <x:c r="C49" s="14" t="str">
        <x:v>董事长直管独立单位</x:v>
      </x:c>
      <x:c r="D49" s="14" t="str">
        <x:v>财人中心</x:v>
      </x:c>
      <x:c r="E49" s="14" t="str">
        <x:v>财务部</x:v>
      </x:c>
      <x:c r="F49" s="14" t="str"/>
      <x:c r="G49" s="13" t="str">
        <x:v>股东会 &gt; 董事长直管独立单位 &gt; 财人中心 &gt; 财务部</x:v>
      </x:c>
      <x:c r="H49" s="15" t="str">
        <x:v>卫清越</x:v>
      </x:c>
      <x:c r="I49" s="15" t="str"/>
      <x:c r="J49" s="15" t="n">
        <x:f>COUNTIF($H$5:$H$229,H49)</x:f>
        <x:v>1</x:v>
      </x:c>
      <x:c r="K49" s="15" t="str">
        <x:f>IF(OR(J49&gt;1,ISNUMBER(SEARCH("兼",I49))),"是","否")</x:f>
        <x:v>否</x:v>
      </x:c>
      <x:c r="L49" s="13" t="str"/>
    </x:row>
    <x:row r="50" ht="15" hidden="0" customHeight="1">
      <x:c r="A50" s="14" t="n">
        <x:v>46</x:v>
      </x:c>
      <x:c r="B50" s="14" t="str">
        <x:v>董事长直管独立单位</x:v>
      </x:c>
      <x:c r="C50" s="14" t="str">
        <x:v>董事长直管独立单位</x:v>
      </x:c>
      <x:c r="D50" s="14" t="str">
        <x:v>财人中心</x:v>
      </x:c>
      <x:c r="E50" s="14" t="str">
        <x:v>财务部</x:v>
      </x:c>
      <x:c r="F50" s="14" t="str"/>
      <x:c r="G50" s="13" t="str">
        <x:v>股东会 &gt; 董事长直管独立单位 &gt; 财人中心 &gt; 财务部</x:v>
      </x:c>
      <x:c r="H50" s="15" t="str">
        <x:v>郑清越</x:v>
      </x:c>
      <x:c r="I50" s="15" t="str"/>
      <x:c r="J50" s="15" t="n">
        <x:f>COUNTIF($H$5:$H$229,H50)</x:f>
        <x:v>1</x:v>
      </x:c>
      <x:c r="K50" s="15" t="str">
        <x:f>IF(OR(J50&gt;1,ISNUMBER(SEARCH("兼",I50))),"是","否")</x:f>
        <x:v>否</x:v>
      </x:c>
      <x:c r="L50" s="13" t="str"/>
    </x:row>
    <x:row r="51" ht="15" hidden="0" customHeight="1">
      <x:c r="A51" s="14" t="n">
        <x:v>47</x:v>
      </x:c>
      <x:c r="B51" s="14" t="str">
        <x:v>董事长直管独立单位</x:v>
      </x:c>
      <x:c r="C51" s="14" t="str">
        <x:v>董事长直管独立单位</x:v>
      </x:c>
      <x:c r="D51" s="14" t="str">
        <x:v>财人中心</x:v>
      </x:c>
      <x:c r="E51" s="14" t="str">
        <x:v>财务部</x:v>
      </x:c>
      <x:c r="F51" s="14" t="str"/>
      <x:c r="G51" s="13" t="str">
        <x:v>股东会 &gt; 董事长直管独立单位 &gt; 财人中心 &gt; 财务部</x:v>
      </x:c>
      <x:c r="H51" s="15" t="str">
        <x:v>冯景和</x:v>
      </x:c>
      <x:c r="I51" s="15" t="str"/>
      <x:c r="J51" s="15" t="n">
        <x:f>COUNTIF($H$5:$H$229,H51)</x:f>
        <x:v>1</x:v>
      </x:c>
      <x:c r="K51" s="15" t="str">
        <x:f>IF(OR(J51&gt;1,ISNUMBER(SEARCH("兼",I51))),"是","否")</x:f>
        <x:v>否</x:v>
      </x:c>
      <x:c r="L51" s="13" t="str"/>
    </x:row>
    <x:row r="52" ht="15" hidden="0" customHeight="1">
      <x:c r="A52" s="14" t="n">
        <x:v>48</x:v>
      </x:c>
      <x:c r="B52" s="14" t="str">
        <x:v>董事长直管独立单位</x:v>
      </x:c>
      <x:c r="C52" s="14" t="str">
        <x:v>董事长直管独立单位</x:v>
      </x:c>
      <x:c r="D52" s="14" t="str">
        <x:v>财人中心</x:v>
      </x:c>
      <x:c r="E52" s="14" t="str">
        <x:v>财务部</x:v>
      </x:c>
      <x:c r="F52" s="14" t="str"/>
      <x:c r="G52" s="13" t="str">
        <x:v>股东会 &gt; 董事长直管独立单位 &gt; 财人中心 &gt; 财务部</x:v>
      </x:c>
      <x:c r="H52" s="15" t="str">
        <x:v>冯嘉树</x:v>
      </x:c>
      <x:c r="I52" s="15" t="str"/>
      <x:c r="J52" s="15" t="n">
        <x:f>COUNTIF($H$5:$H$229,H52)</x:f>
        <x:v>1</x:v>
      </x:c>
      <x:c r="K52" s="15" t="str">
        <x:f>IF(OR(J52&gt;1,ISNUMBER(SEARCH("兼",I52))),"是","否")</x:f>
        <x:v>否</x:v>
      </x:c>
      <x:c r="L52" s="13" t="str"/>
    </x:row>
    <x:row r="53" ht="15" hidden="0" customHeight="1">
      <x:c r="A53" s="14" t="n">
        <x:v>49</x:v>
      </x:c>
      <x:c r="B53" s="14" t="str">
        <x:v>董事长直管独立单位</x:v>
      </x:c>
      <x:c r="C53" s="14" t="str">
        <x:v>董事长直管独立单位</x:v>
      </x:c>
      <x:c r="D53" s="14" t="str">
        <x:v>财人中心</x:v>
      </x:c>
      <x:c r="E53" s="14" t="str">
        <x:v>档案管理部</x:v>
      </x:c>
      <x:c r="F53" s="14" t="str"/>
      <x:c r="G53" s="13" t="str">
        <x:v>股东会 &gt; 董事长直管独立单位 &gt; 财人中心 &gt; 档案管理部</x:v>
      </x:c>
      <x:c r="H53" s="15" t="str">
        <x:v>钱子谦</x:v>
      </x:c>
      <x:c r="I53" s="15" t="str">
        <x:v>经理</x:v>
      </x:c>
      <x:c r="J53" s="15" t="n">
        <x:f>COUNTIF($H$5:$H$229,H53)</x:f>
        <x:v>1</x:v>
      </x:c>
      <x:c r="K53" s="15" t="str">
        <x:f>IF(OR(J53&gt;1,ISNUMBER(SEARCH("兼",I53))),"是","否")</x:f>
        <x:v>否</x:v>
      </x:c>
      <x:c r="L53" s="13" t="str"/>
    </x:row>
    <x:row r="54" ht="15" hidden="0" customHeight="1">
      <x:c r="A54" s="14" t="n">
        <x:v>50</x:v>
      </x:c>
      <x:c r="B54" s="14" t="str">
        <x:v>董事长直管独立单位</x:v>
      </x:c>
      <x:c r="C54" s="14" t="str">
        <x:v>董事长直管独立单位</x:v>
      </x:c>
      <x:c r="D54" s="14" t="str">
        <x:v>财人中心</x:v>
      </x:c>
      <x:c r="E54" s="14" t="str">
        <x:v>采购部</x:v>
      </x:c>
      <x:c r="F54" s="14" t="str"/>
      <x:c r="G54" s="13" t="str">
        <x:v>股东会 &gt; 董事长直管独立单位 &gt; 财人中心 &gt; 采购部</x:v>
      </x:c>
      <x:c r="H54" s="15" t="str">
        <x:v>赵浩然</x:v>
      </x:c>
      <x:c r="I54" s="15" t="str">
        <x:v>经理</x:v>
      </x:c>
      <x:c r="J54" s="15" t="n">
        <x:f>COUNTIF($H$5:$H$229,H54)</x:f>
        <x:v>1</x:v>
      </x:c>
      <x:c r="K54" s="15" t="str">
        <x:f>IF(OR(J54&gt;1,ISNUMBER(SEARCH("兼",I54))),"是","否")</x:f>
        <x:v>否</x:v>
      </x:c>
      <x:c r="L54" s="13" t="str"/>
    </x:row>
    <x:row r="55" ht="15" hidden="0" customHeight="1">
      <x:c r="A55" s="14" t="n">
        <x:v>51</x:v>
      </x:c>
      <x:c r="B55" s="14" t="str">
        <x:v>董事长直管独立单位</x:v>
      </x:c>
      <x:c r="C55" s="14" t="str">
        <x:v>董事长直管独立单位</x:v>
      </x:c>
      <x:c r="D55" s="14" t="str">
        <x:v>财人中心</x:v>
      </x:c>
      <x:c r="E55" s="14" t="str">
        <x:v>人力资源部</x:v>
      </x:c>
      <x:c r="F55" s="14" t="str"/>
      <x:c r="G55" s="13" t="str">
        <x:v>股东会 &gt; 董事长直管独立单位 &gt; 财人中心 &gt; 人力资源部</x:v>
      </x:c>
      <x:c r="H55" s="15" t="str">
        <x:v>周知远</x:v>
      </x:c>
      <x:c r="I55" s="15" t="str">
        <x:v>经理</x:v>
      </x:c>
      <x:c r="J55" s="15" t="n">
        <x:f>COUNTIF($H$5:$H$229,H55)</x:f>
        <x:v>3</x:v>
      </x:c>
      <x:c r="K55" s="15" t="str">
        <x:f>IF(OR(J55&gt;1,ISNUMBER(SEARCH("兼",I55))),"是","否")</x:f>
        <x:v>是</x:v>
      </x:c>
      <x:c r="L55" s="13" t="str"/>
    </x:row>
    <x:row r="56" ht="15" hidden="0" customHeight="1">
      <x:c r="A56" s="14" t="n">
        <x:v>52</x:v>
      </x:c>
      <x:c r="B56" s="14" t="str">
        <x:v>董事长直管独立单位</x:v>
      </x:c>
      <x:c r="C56" s="14" t="str">
        <x:v>董事长直管独立单位</x:v>
      </x:c>
      <x:c r="D56" s="14" t="str">
        <x:v>财人中心</x:v>
      </x:c>
      <x:c r="E56" s="14" t="str">
        <x:v>人力资源部</x:v>
      </x:c>
      <x:c r="F56" s="14" t="str"/>
      <x:c r="G56" s="13" t="str">
        <x:v>股东会 &gt; 董事长直管独立单位 &gt; 财人中心 &gt; 人力资源部</x:v>
      </x:c>
      <x:c r="H56" s="15" t="str">
        <x:v>孙若溪</x:v>
      </x:c>
      <x:c r="I56" s="15" t="str">
        <x:v>兼专员</x:v>
      </x:c>
      <x:c r="J56" s="15" t="n">
        <x:f>COUNTIF($H$5:$H$229,H56)</x:f>
        <x:v>2</x:v>
      </x:c>
      <x:c r="K56" s="15" t="str">
        <x:f>IF(OR(J56&gt;1,ISNUMBER(SEARCH("兼",I56))),"是","否")</x:f>
        <x:v>是</x:v>
      </x:c>
      <x:c r="L56" s="13" t="str">
        <x:v>原名单注明兼任</x:v>
      </x:c>
    </x:row>
    <x:row r="57" ht="15" hidden="0" customHeight="1">
      <x:c r="A57" s="14" t="n">
        <x:v>53</x:v>
      </x:c>
      <x:c r="B57" s="14" t="str">
        <x:v>董事长直管独立单位</x:v>
      </x:c>
      <x:c r="C57" s="14" t="str">
        <x:v>董事长直管独立单位</x:v>
      </x:c>
      <x:c r="D57" s="14" t="str">
        <x:v>财人中心</x:v>
      </x:c>
      <x:c r="E57" s="14" t="str">
        <x:v>票务服务部</x:v>
      </x:c>
      <x:c r="F57" s="14" t="str"/>
      <x:c r="G57" s="13" t="str">
        <x:v>股东会 &gt; 董事长直管独立单位 &gt; 财人中心 &gt; 票务服务部</x:v>
      </x:c>
      <x:c r="H57" s="15" t="str">
        <x:v>孙允禾</x:v>
      </x:c>
      <x:c r="I57" s="15" t="str"/>
      <x:c r="J57" s="15" t="n">
        <x:f>COUNTIF($H$5:$H$229,H57)</x:f>
        <x:v>1</x:v>
      </x:c>
      <x:c r="K57" s="15" t="str">
        <x:f>IF(OR(J57&gt;1,ISNUMBER(SEARCH("兼",I57))),"是","否")</x:f>
        <x:v>否</x:v>
      </x:c>
      <x:c r="L57" s="13" t="str"/>
    </x:row>
    <x:row r="58" ht="15" hidden="0" customHeight="1">
      <x:c r="A58" s="14" t="n">
        <x:v>54</x:v>
      </x:c>
      <x:c r="B58" s="14" t="str">
        <x:v>董事长直管独立单位</x:v>
      </x:c>
      <x:c r="C58" s="14" t="str">
        <x:v>董事长直管独立单位</x:v>
      </x:c>
      <x:c r="D58" s="14" t="str">
        <x:v>财人中心</x:v>
      </x:c>
      <x:c r="E58" s="14" t="str">
        <x:v>票务服务部</x:v>
      </x:c>
      <x:c r="F58" s="14" t="str"/>
      <x:c r="G58" s="13" t="str">
        <x:v>股东会 &gt; 董事长直管独立单位 &gt; 财人中心 &gt; 票务服务部</x:v>
      </x:c>
      <x:c r="H58" s="15" t="str">
        <x:v>郑乐川</x:v>
      </x:c>
      <x:c r="I58" s="15" t="str"/>
      <x:c r="J58" s="15" t="n">
        <x:f>COUNTIF($H$5:$H$229,H58)</x:f>
        <x:v>1</x:v>
      </x:c>
      <x:c r="K58" s="15" t="str">
        <x:f>IF(OR(J58&gt;1,ISNUMBER(SEARCH("兼",I58))),"是","否")</x:f>
        <x:v>否</x:v>
      </x:c>
      <x:c r="L58" s="13" t="str"/>
    </x:row>
    <x:row r="59" ht="15" hidden="0" customHeight="1">
      <x:c r="A59" s="14" t="n">
        <x:v>55</x:v>
      </x:c>
      <x:c r="B59" s="14" t="str">
        <x:v>董事长直管独立单位</x:v>
      </x:c>
      <x:c r="C59" s="14" t="str">
        <x:v>董事长直管独立单位</x:v>
      </x:c>
      <x:c r="D59" s="14" t="str">
        <x:v>财人中心</x:v>
      </x:c>
      <x:c r="E59" s="14" t="str">
        <x:v>票务服务部</x:v>
      </x:c>
      <x:c r="F59" s="14" t="str"/>
      <x:c r="G59" s="13" t="str">
        <x:v>股东会 &gt; 董事长直管独立单位 &gt; 财人中心 &gt; 票务服务部</x:v>
      </x:c>
      <x:c r="H59" s="15" t="str">
        <x:v>孙思源</x:v>
      </x:c>
      <x:c r="I59" s="15" t="str"/>
      <x:c r="J59" s="15" t="n">
        <x:f>COUNTIF($H$5:$H$229,H59)</x:f>
        <x:v>1</x:v>
      </x:c>
      <x:c r="K59" s="15" t="str">
        <x:f>IF(OR(J59&gt;1,ISNUMBER(SEARCH("兼",I59))),"是","否")</x:f>
        <x:v>否</x:v>
      </x:c>
      <x:c r="L59" s="13" t="str"/>
    </x:row>
    <x:row r="60" ht="15" hidden="0" customHeight="1">
      <x:c r="A60" s="14" t="n">
        <x:v>56</x:v>
      </x:c>
      <x:c r="B60" s="14" t="str">
        <x:v>董事长直管独立单位</x:v>
      </x:c>
      <x:c r="C60" s="14" t="str">
        <x:v>董事长直管独立单位</x:v>
      </x:c>
      <x:c r="D60" s="14" t="str">
        <x:v>财人中心</x:v>
      </x:c>
      <x:c r="E60" s="14" t="str">
        <x:v>票务服务部</x:v>
      </x:c>
      <x:c r="F60" s="14" t="str"/>
      <x:c r="G60" s="13" t="str">
        <x:v>股东会 &gt; 董事长直管独立单位 &gt; 财人中心 &gt; 票务服务部</x:v>
      </x:c>
      <x:c r="H60" s="15" t="str">
        <x:v>周希文</x:v>
      </x:c>
      <x:c r="I60" s="15" t="str"/>
      <x:c r="J60" s="15" t="n">
        <x:f>COUNTIF($H$5:$H$229,H60)</x:f>
        <x:v>1</x:v>
      </x:c>
      <x:c r="K60" s="15" t="str">
        <x:f>IF(OR(J60&gt;1,ISNUMBER(SEARCH("兼",I60))),"是","否")</x:f>
        <x:v>否</x:v>
      </x:c>
      <x:c r="L60" s="13" t="str"/>
    </x:row>
    <x:row r="61" ht="15" hidden="0" customHeight="1">
      <x:c r="A61" s="14" t="n">
        <x:v>57</x:v>
      </x:c>
      <x:c r="B61" s="14" t="str">
        <x:v>董事长直管独立单位</x:v>
      </x:c>
      <x:c r="C61" s="14" t="str">
        <x:v>董事长直管独立单位</x:v>
      </x:c>
      <x:c r="D61" s="14" t="str">
        <x:v>市场中心</x:v>
      </x:c>
      <x:c r="E61" s="14" t="str">
        <x:v>教育部</x:v>
      </x:c>
      <x:c r="F61" s="14" t="str"/>
      <x:c r="G61" s="13" t="str">
        <x:v>股东会 &gt; 董事长直管独立单位 &gt; 市场中心 &gt; 教育部</x:v>
      </x:c>
      <x:c r="H61" s="15" t="str">
        <x:v>钱星川</x:v>
      </x:c>
      <x:c r="I61" s="15" t="str">
        <x:v>经理</x:v>
      </x:c>
      <x:c r="J61" s="15" t="n">
        <x:f>COUNTIF($H$5:$H$229,H61)</x:f>
        <x:v>3</x:v>
      </x:c>
      <x:c r="K61" s="15" t="str">
        <x:f>IF(OR(J61&gt;1,ISNUMBER(SEARCH("兼",I61))),"是","否")</x:f>
        <x:v>是</x:v>
      </x:c>
      <x:c r="L61" s="13" t="str"/>
    </x:row>
    <x:row r="62" ht="15" hidden="0" customHeight="1">
      <x:c r="A62" s="14" t="n">
        <x:v>58</x:v>
      </x:c>
      <x:c r="B62" s="14" t="str">
        <x:v>董事长直管独立单位</x:v>
      </x:c>
      <x:c r="C62" s="14" t="str">
        <x:v>董事长直管独立单位</x:v>
      </x:c>
      <x:c r="D62" s="14" t="str">
        <x:v>市场中心</x:v>
      </x:c>
      <x:c r="E62" s="14" t="str">
        <x:v>教育部</x:v>
      </x:c>
      <x:c r="F62" s="14" t="str"/>
      <x:c r="G62" s="13" t="str">
        <x:v>股东会 &gt; 董事长直管独立单位 &gt; 市场中心 &gt; 教育部</x:v>
      </x:c>
      <x:c r="H62" s="15" t="str">
        <x:v>钱清越</x:v>
      </x:c>
      <x:c r="I62" s="15" t="str">
        <x:v>经理</x:v>
      </x:c>
      <x:c r="J62" s="15" t="n">
        <x:f>COUNTIF($H$5:$H$229,H62)</x:f>
        <x:v>1</x:v>
      </x:c>
      <x:c r="K62" s="15" t="str">
        <x:f>IF(OR(J62&gt;1,ISNUMBER(SEARCH("兼",I62))),"是","否")</x:f>
        <x:v>否</x:v>
      </x:c>
      <x:c r="L62" s="13" t="str"/>
    </x:row>
    <x:row r="63" ht="15" hidden="0" customHeight="1">
      <x:c r="A63" s="14" t="n">
        <x:v>59</x:v>
      </x:c>
      <x:c r="B63" s="14" t="str">
        <x:v>董事长直管独立单位</x:v>
      </x:c>
      <x:c r="C63" s="14" t="str">
        <x:v>董事长直管独立单位</x:v>
      </x:c>
      <x:c r="D63" s="14" t="str">
        <x:v>市场中心</x:v>
      </x:c>
      <x:c r="E63" s="14" t="str">
        <x:v>教育部</x:v>
      </x:c>
      <x:c r="F63" s="14" t="str"/>
      <x:c r="G63" s="13" t="str">
        <x:v>股东会 &gt; 董事长直管独立单位 &gt; 市场中心 &gt; 教育部</x:v>
      </x:c>
      <x:c r="H63" s="15" t="str">
        <x:v>郑亦辰</x:v>
      </x:c>
      <x:c r="I63" s="15" t="str"/>
      <x:c r="J63" s="15" t="n">
        <x:f>COUNTIF($H$5:$H$229,H63)</x:f>
        <x:v>1</x:v>
      </x:c>
      <x:c r="K63" s="15" t="str">
        <x:f>IF(OR(J63&gt;1,ISNUMBER(SEARCH("兼",I63))),"是","否")</x:f>
        <x:v>否</x:v>
      </x:c>
      <x:c r="L63" s="13" t="str"/>
    </x:row>
    <x:row r="64" ht="15" hidden="0" customHeight="1">
      <x:c r="A64" s="14" t="n">
        <x:v>60</x:v>
      </x:c>
      <x:c r="B64" s="14" t="str">
        <x:v>董事长直管独立单位</x:v>
      </x:c>
      <x:c r="C64" s="14" t="str">
        <x:v>董事长直管独立单位</x:v>
      </x:c>
      <x:c r="D64" s="14" t="str">
        <x:v>市场中心</x:v>
      </x:c>
      <x:c r="E64" s="14" t="str">
        <x:v>教育部</x:v>
      </x:c>
      <x:c r="F64" s="14" t="str"/>
      <x:c r="G64" s="13" t="str">
        <x:v>股东会 &gt; 董事长直管独立单位 &gt; 市场中心 &gt; 教育部</x:v>
      </x:c>
      <x:c r="H64" s="15" t="str">
        <x:v>冯予安</x:v>
      </x:c>
      <x:c r="I64" s="15" t="str"/>
      <x:c r="J64" s="15" t="n">
        <x:f>COUNTIF($H$5:$H$229,H64)</x:f>
        <x:v>1</x:v>
      </x:c>
      <x:c r="K64" s="15" t="str">
        <x:f>IF(OR(J64&gt;1,ISNUMBER(SEARCH("兼",I64))),"是","否")</x:f>
        <x:v>否</x:v>
      </x:c>
      <x:c r="L64" s="13" t="str"/>
    </x:row>
    <x:row r="65" ht="15" hidden="0" customHeight="1">
      <x:c r="A65" s="14" t="n">
        <x:v>61</x:v>
      </x:c>
      <x:c r="B65" s="14" t="str">
        <x:v>董事长直管独立单位</x:v>
      </x:c>
      <x:c r="C65" s="14" t="str">
        <x:v>董事长直管独立单位</x:v>
      </x:c>
      <x:c r="D65" s="14" t="str">
        <x:v>市场中心</x:v>
      </x:c>
      <x:c r="E65" s="14" t="str">
        <x:v>教育部</x:v>
      </x:c>
      <x:c r="F65" s="14" t="str"/>
      <x:c r="G65" s="13" t="str">
        <x:v>股东会 &gt; 董事长直管独立单位 &gt; 市场中心 &gt; 教育部</x:v>
      </x:c>
      <x:c r="H65" s="15" t="str">
        <x:v>钱若溪</x:v>
      </x:c>
      <x:c r="I65" s="15" t="str"/>
      <x:c r="J65" s="15" t="n">
        <x:f>COUNTIF($H$5:$H$229,H65)</x:f>
        <x:v>1</x:v>
      </x:c>
      <x:c r="K65" s="15" t="str">
        <x:f>IF(OR(J65&gt;1,ISNUMBER(SEARCH("兼",I65))),"是","否")</x:f>
        <x:v>否</x:v>
      </x:c>
      <x:c r="L65" s="13" t="str"/>
    </x:row>
    <x:row r="66" ht="15" hidden="0" customHeight="1">
      <x:c r="A66" s="14" t="n">
        <x:v>62</x:v>
      </x:c>
      <x:c r="B66" s="14" t="str">
        <x:v>董事长直管独立单位</x:v>
      </x:c>
      <x:c r="C66" s="14" t="str">
        <x:v>董事长直管独立单位</x:v>
      </x:c>
      <x:c r="D66" s="14" t="str">
        <x:v>市场中心</x:v>
      </x:c>
      <x:c r="E66" s="14" t="str">
        <x:v>教育部</x:v>
      </x:c>
      <x:c r="F66" s="14" t="str"/>
      <x:c r="G66" s="13" t="str">
        <x:v>股东会 &gt; 董事长直管独立单位 &gt; 市场中心 &gt; 教育部</x:v>
      </x:c>
      <x:c r="H66" s="15" t="str">
        <x:v>孙浩然</x:v>
      </x:c>
      <x:c r="I66" s="15" t="str"/>
      <x:c r="J66" s="15" t="n">
        <x:f>COUNTIF($H$5:$H$229,H66)</x:f>
        <x:v>1</x:v>
      </x:c>
      <x:c r="K66" s="15" t="str">
        <x:f>IF(OR(J66&gt;1,ISNUMBER(SEARCH("兼",I66))),"是","否")</x:f>
        <x:v>否</x:v>
      </x:c>
      <x:c r="L66" s="13" t="str"/>
    </x:row>
    <x:row r="67" ht="15" hidden="0" customHeight="1">
      <x:c r="A67" s="14" t="n">
        <x:v>63</x:v>
      </x:c>
      <x:c r="B67" s="14" t="str">
        <x:v>董事长直管独立单位</x:v>
      </x:c>
      <x:c r="C67" s="14" t="str">
        <x:v>董事长直管独立单位</x:v>
      </x:c>
      <x:c r="D67" s="14" t="str">
        <x:v>市场中心</x:v>
      </x:c>
      <x:c r="E67" s="14" t="str">
        <x:v>教育部</x:v>
      </x:c>
      <x:c r="F67" s="14" t="str"/>
      <x:c r="G67" s="13" t="str">
        <x:v>股东会 &gt; 董事长直管独立单位 &gt; 市场中心 &gt; 教育部</x:v>
      </x:c>
      <x:c r="H67" s="15" t="str">
        <x:v>周子谦</x:v>
      </x:c>
      <x:c r="I67" s="15" t="str"/>
      <x:c r="J67" s="15" t="n">
        <x:f>COUNTIF($H$5:$H$229,H67)</x:f>
        <x:v>1</x:v>
      </x:c>
      <x:c r="K67" s="15" t="str">
        <x:f>IF(OR(J67&gt;1,ISNUMBER(SEARCH("兼",I67))),"是","否")</x:f>
        <x:v>否</x:v>
      </x:c>
      <x:c r="L67" s="13" t="str"/>
    </x:row>
    <x:row r="68" ht="15" hidden="0" customHeight="1">
      <x:c r="A68" s="14" t="n">
        <x:v>64</x:v>
      </x:c>
      <x:c r="B68" s="14" t="str">
        <x:v>董事长直管独立单位</x:v>
      </x:c>
      <x:c r="C68" s="14" t="str">
        <x:v>董事长直管独立单位</x:v>
      </x:c>
      <x:c r="D68" s="14" t="str">
        <x:v>文化中心</x:v>
      </x:c>
      <x:c r="E68" s="14" t="str"/>
      <x:c r="F68" s="14" t="str"/>
      <x:c r="G68" s="13" t="str">
        <x:v>股东会 &gt; 董事长直管独立单位 &gt; 文化中心</x:v>
      </x:c>
      <x:c r="H68" s="15" t="str">
        <x:v>赵知远</x:v>
      </x:c>
      <x:c r="I68" s="15" t="str">
        <x:v>总经理</x:v>
      </x:c>
      <x:c r="J68" s="15" t="n">
        <x:f>COUNTIF($H$5:$H$229,H68)</x:f>
        <x:v>2</x:v>
      </x:c>
      <x:c r="K68" s="15" t="str">
        <x:f>IF(OR(J68&gt;1,ISNUMBER(SEARCH("兼",I68))),"是","否")</x:f>
        <x:v>是</x:v>
      </x:c>
      <x:c r="L68" s="13" t="str"/>
    </x:row>
    <x:row r="69" ht="15" hidden="0" customHeight="1">
      <x:c r="A69" s="14" t="n">
        <x:v>65</x:v>
      </x:c>
      <x:c r="B69" s="14" t="str">
        <x:v>董事长直管独立单位</x:v>
      </x:c>
      <x:c r="C69" s="14" t="str">
        <x:v>董事长直管独立单位</x:v>
      </x:c>
      <x:c r="D69" s="14" t="str">
        <x:v>文化中心</x:v>
      </x:c>
      <x:c r="E69" s="14" t="str"/>
      <x:c r="F69" s="14" t="str"/>
      <x:c r="G69" s="13" t="str">
        <x:v>股东会 &gt; 董事长直管独立单位 &gt; 文化中心</x:v>
      </x:c>
      <x:c r="H69" s="15" t="str">
        <x:v>赵书航</x:v>
      </x:c>
      <x:c r="I69" s="15" t="str">
        <x:v>副总经理</x:v>
      </x:c>
      <x:c r="J69" s="15" t="n">
        <x:f>COUNTIF($H$5:$H$229,H69)</x:f>
        <x:v>1</x:v>
      </x:c>
      <x:c r="K69" s="15" t="str">
        <x:f>IF(OR(J69&gt;1,ISNUMBER(SEARCH("兼",I69))),"是","否")</x:f>
        <x:v>否</x:v>
      </x:c>
      <x:c r="L69" s="13" t="str"/>
    </x:row>
    <x:row r="70" ht="15" hidden="0" customHeight="1">
      <x:c r="A70" s="14" t="n">
        <x:v>66</x:v>
      </x:c>
      <x:c r="B70" s="14" t="str">
        <x:v>董事长直管独立单位</x:v>
      </x:c>
      <x:c r="C70" s="14" t="str">
        <x:v>董事长直管独立单位</x:v>
      </x:c>
      <x:c r="D70" s="14" t="str">
        <x:v>文化中心</x:v>
      </x:c>
      <x:c r="E70" s="14" t="str">
        <x:v>商学院</x:v>
      </x:c>
      <x:c r="F70" s="14" t="str"/>
      <x:c r="G70" s="13" t="str">
        <x:v>股东会 &gt; 董事长直管独立单位 &gt; 文化中心 &gt; 商学院</x:v>
      </x:c>
      <x:c r="H70" s="15" t="str">
        <x:v>赵知远</x:v>
      </x:c>
      <x:c r="I70" s="15" t="str">
        <x:v>院长</x:v>
      </x:c>
      <x:c r="J70" s="15" t="n">
        <x:f>COUNTIF($H$5:$H$229,H70)</x:f>
        <x:v>2</x:v>
      </x:c>
      <x:c r="K70" s="15" t="str">
        <x:f>IF(OR(J70&gt;1,ISNUMBER(SEARCH("兼",I70))),"是","否")</x:f>
        <x:v>是</x:v>
      </x:c>
      <x:c r="L70" s="13" t="str"/>
    </x:row>
    <x:row r="71" ht="15" hidden="0" customHeight="1">
      <x:c r="A71" s="14" t="n">
        <x:v>67</x:v>
      </x:c>
      <x:c r="B71" s="14" t="str">
        <x:v>董事长直管独立单位</x:v>
      </x:c>
      <x:c r="C71" s="14" t="str">
        <x:v>董事长直管独立单位</x:v>
      </x:c>
      <x:c r="D71" s="14" t="str">
        <x:v>文化中心</x:v>
      </x:c>
      <x:c r="E71" s="14" t="str">
        <x:v>商学院</x:v>
      </x:c>
      <x:c r="F71" s="14" t="str"/>
      <x:c r="G71" s="13" t="str">
        <x:v>股东会 &gt; 董事长直管独立单位 &gt; 文化中心 &gt; 商学院</x:v>
      </x:c>
      <x:c r="H71" s="15" t="str">
        <x:v>卫若溪</x:v>
      </x:c>
      <x:c r="I71" s="15" t="str">
        <x:v>副院长</x:v>
      </x:c>
      <x:c r="J71" s="15" t="n">
        <x:f>COUNTIF($H$5:$H$229,H71)</x:f>
        <x:v>1</x:v>
      </x:c>
      <x:c r="K71" s="15" t="str">
        <x:f>IF(OR(J71&gt;1,ISNUMBER(SEARCH("兼",I71))),"是","否")</x:f>
        <x:v>否</x:v>
      </x:c>
      <x:c r="L71" s="13" t="str"/>
    </x:row>
    <x:row r="72" ht="15" hidden="0" customHeight="1">
      <x:c r="A72" s="14" t="n">
        <x:v>68</x:v>
      </x:c>
      <x:c r="B72" s="14" t="str">
        <x:v>总裁线</x:v>
      </x:c>
      <x:c r="C72" s="14" t="str">
        <x:v>总裁线</x:v>
      </x:c>
      <x:c r="D72" s="14" t="str">
        <x:v>总裁办</x:v>
      </x:c>
      <x:c r="E72" s="14" t="str"/>
      <x:c r="F72" s="14" t="str"/>
      <x:c r="G72" s="13" t="str">
        <x:v>股东会 &gt; 总裁线 &gt; 总裁办</x:v>
      </x:c>
      <x:c r="H72" s="15" t="str">
        <x:v>赵沐辰</x:v>
      </x:c>
      <x:c r="I72" s="15" t="str">
        <x:v>总裁</x:v>
      </x:c>
      <x:c r="J72" s="15" t="n">
        <x:f>COUNTIF($H$5:$H$229,H72)</x:f>
        <x:v>1</x:v>
      </x:c>
      <x:c r="K72" s="15" t="str">
        <x:f>IF(OR(J72&gt;1,ISNUMBER(SEARCH("兼",I72))),"是","否")</x:f>
        <x:v>否</x:v>
      </x:c>
      <x:c r="L72" s="13" t="str"/>
    </x:row>
    <x:row r="73" ht="15" hidden="0" customHeight="1">
      <x:c r="A73" s="14" t="n">
        <x:v>69</x:v>
      </x:c>
      <x:c r="B73" s="14" t="str">
        <x:v>总裁线</x:v>
      </x:c>
      <x:c r="C73" s="14" t="str">
        <x:v>总裁线</x:v>
      </x:c>
      <x:c r="D73" s="14" t="str">
        <x:v>总裁办</x:v>
      </x:c>
      <x:c r="E73" s="14" t="str"/>
      <x:c r="F73" s="14" t="str"/>
      <x:c r="G73" s="13" t="str">
        <x:v>股东会 &gt; 总裁线 &gt; 总裁办</x:v>
      </x:c>
      <x:c r="H73" s="15" t="str">
        <x:v>赵希文</x:v>
      </x:c>
      <x:c r="I73" s="15" t="str">
        <x:v>常务副总裁</x:v>
      </x:c>
      <x:c r="J73" s="15" t="n">
        <x:f>COUNTIF($H$5:$H$229,H73)</x:f>
        <x:v>3</x:v>
      </x:c>
      <x:c r="K73" s="15" t="str">
        <x:f>IF(OR(J73&gt;1,ISNUMBER(SEARCH("兼",I73))),"是","否")</x:f>
        <x:v>是</x:v>
      </x:c>
      <x:c r="L73" s="13" t="str"/>
    </x:row>
    <x:row r="74" ht="15" hidden="0" customHeight="1">
      <x:c r="A74" s="14" t="n">
        <x:v>70</x:v>
      </x:c>
      <x:c r="B74" s="14" t="str">
        <x:v>总裁线</x:v>
      </x:c>
      <x:c r="C74" s="14" t="str">
        <x:v>总裁线</x:v>
      </x:c>
      <x:c r="D74" s="14" t="str">
        <x:v>总裁办</x:v>
      </x:c>
      <x:c r="E74" s="14" t="str"/>
      <x:c r="F74" s="14" t="str"/>
      <x:c r="G74" s="13" t="str">
        <x:v>股东会 &gt; 总裁线 &gt; 总裁办</x:v>
      </x:c>
      <x:c r="H74" s="15" t="str">
        <x:v>孙若溪</x:v>
      </x:c>
      <x:c r="I74" s="15" t="str">
        <x:v>总裁助理</x:v>
      </x:c>
      <x:c r="J74" s="15" t="n">
        <x:f>COUNTIF($H$5:$H$229,H74)</x:f>
        <x:v>2</x:v>
      </x:c>
      <x:c r="K74" s="15" t="str">
        <x:f>IF(OR(J74&gt;1,ISNUMBER(SEARCH("兼",I74))),"是","否")</x:f>
        <x:v>是</x:v>
      </x:c>
      <x:c r="L74" s="13" t="str"/>
    </x:row>
    <x:row r="75" ht="15" hidden="0" customHeight="1">
      <x:c r="A75" s="14" t="n">
        <x:v>71</x:v>
      </x:c>
      <x:c r="B75" s="14" t="str">
        <x:v>总裁线</x:v>
      </x:c>
      <x:c r="C75" s="14" t="str">
        <x:v>总裁线</x:v>
      </x:c>
      <x:c r="D75" s="14" t="str">
        <x:v>总裁办</x:v>
      </x:c>
      <x:c r="E75" s="14" t="str"/>
      <x:c r="F75" s="14" t="str"/>
      <x:c r="G75" s="13" t="str">
        <x:v>股东会 &gt; 总裁线 &gt; 总裁办</x:v>
      </x:c>
      <x:c r="H75" s="15" t="str">
        <x:v>钱映川</x:v>
      </x:c>
      <x:c r="I75" s="15" t="str">
        <x:v>司机</x:v>
      </x:c>
      <x:c r="J75" s="15" t="n">
        <x:f>COUNTIF($H$5:$H$229,H75)</x:f>
        <x:v>1</x:v>
      </x:c>
      <x:c r="K75" s="15" t="str">
        <x:f>IF(OR(J75&gt;1,ISNUMBER(SEARCH("兼",I75))),"是","否")</x:f>
        <x:v>否</x:v>
      </x:c>
      <x:c r="L75" s="13" t="str"/>
    </x:row>
    <x:row r="76" ht="15" hidden="0" customHeight="1">
      <x:c r="A76" s="14" t="n">
        <x:v>72</x:v>
      </x:c>
      <x:c r="B76" s="14" t="str">
        <x:v>总裁线</x:v>
      </x:c>
      <x:c r="C76" s="14" t="str">
        <x:v>总裁线</x:v>
      </x:c>
      <x:c r="D76" s="14" t="str">
        <x:v>行政中心</x:v>
      </x:c>
      <x:c r="E76" s="14" t="str">
        <x:v>管理人员</x:v>
      </x:c>
      <x:c r="F76" s="14" t="str"/>
      <x:c r="G76" s="13" t="str">
        <x:v>股东会 &gt; 总裁线 &gt; 行政中心 &gt; 管理人员</x:v>
      </x:c>
      <x:c r="H76" s="15" t="str">
        <x:v>周知远</x:v>
      </x:c>
      <x:c r="I76" s="15" t="str">
        <x:v>总经理</x:v>
      </x:c>
      <x:c r="J76" s="15" t="n">
        <x:f>COUNTIF($H$5:$H$229,H76)</x:f>
        <x:v>3</x:v>
      </x:c>
      <x:c r="K76" s="15" t="str">
        <x:f>IF(OR(J76&gt;1,ISNUMBER(SEARCH("兼",I76))),"是","否")</x:f>
        <x:v>是</x:v>
      </x:c>
      <x:c r="L76" s="13" t="str"/>
    </x:row>
    <x:row r="77" ht="15" hidden="0" customHeight="1">
      <x:c r="A77" s="14" t="n">
        <x:v>73</x:v>
      </x:c>
      <x:c r="B77" s="14" t="str">
        <x:v>总裁线</x:v>
      </x:c>
      <x:c r="C77" s="14" t="str">
        <x:v>总裁线</x:v>
      </x:c>
      <x:c r="D77" s="14" t="str">
        <x:v>行政中心</x:v>
      </x:c>
      <x:c r="E77" s="14" t="str">
        <x:v>办公室</x:v>
      </x:c>
      <x:c r="F77" s="14" t="str"/>
      <x:c r="G77" s="13" t="str">
        <x:v>股东会 &gt; 总裁线 &gt; 行政中心 &gt; 办公室</x:v>
      </x:c>
      <x:c r="H77" s="15" t="str">
        <x:v>钱星川</x:v>
      </x:c>
      <x:c r="I77" s="15" t="str">
        <x:v>主任</x:v>
      </x:c>
      <x:c r="J77" s="15" t="n">
        <x:f>COUNTIF($H$5:$H$229,H77)</x:f>
        <x:v>3</x:v>
      </x:c>
      <x:c r="K77" s="15" t="str">
        <x:f>IF(OR(J77&gt;1,ISNUMBER(SEARCH("兼",I77))),"是","否")</x:f>
        <x:v>是</x:v>
      </x:c>
      <x:c r="L77" s="13" t="str"/>
    </x:row>
    <x:row r="78" ht="15" hidden="0" customHeight="1">
      <x:c r="A78" s="14" t="n">
        <x:v>74</x:v>
      </x:c>
      <x:c r="B78" s="14" t="str">
        <x:v>总裁线</x:v>
      </x:c>
      <x:c r="C78" s="14" t="str">
        <x:v>总裁线</x:v>
      </x:c>
      <x:c r="D78" s="14" t="str">
        <x:v>行政中心</x:v>
      </x:c>
      <x:c r="E78" s="14" t="str">
        <x:v>办公室</x:v>
      </x:c>
      <x:c r="F78" s="14" t="str"/>
      <x:c r="G78" s="13" t="str">
        <x:v>股东会 &gt; 总裁线 &gt; 行政中心 &gt; 办公室</x:v>
      </x:c>
      <x:c r="H78" s="15" t="str">
        <x:v>郑沐辰</x:v>
      </x:c>
      <x:c r="I78" s="15" t="str">
        <x:v>副主任</x:v>
      </x:c>
      <x:c r="J78" s="15" t="n">
        <x:f>COUNTIF($H$5:$H$229,H78)</x:f>
        <x:v>1</x:v>
      </x:c>
      <x:c r="K78" s="15" t="str">
        <x:f>IF(OR(J78&gt;1,ISNUMBER(SEARCH("兼",I78))),"是","否")</x:f>
        <x:v>否</x:v>
      </x:c>
      <x:c r="L78" s="13" t="str"/>
    </x:row>
    <x:row r="79" ht="15" hidden="0" customHeight="1">
      <x:c r="A79" s="14" t="n">
        <x:v>75</x:v>
      </x:c>
      <x:c r="B79" s="14" t="str">
        <x:v>总裁线</x:v>
      </x:c>
      <x:c r="C79" s="14" t="str">
        <x:v>总裁线</x:v>
      </x:c>
      <x:c r="D79" s="14" t="str">
        <x:v>行政中心</x:v>
      </x:c>
      <x:c r="E79" s="14" t="str">
        <x:v>资产部</x:v>
      </x:c>
      <x:c r="F79" s="14" t="str"/>
      <x:c r="G79" s="13" t="str">
        <x:v>股东会 &gt; 总裁线 &gt; 行政中心 &gt; 资产部</x:v>
      </x:c>
      <x:c r="H79" s="15" t="str">
        <x:v>赵亦辰</x:v>
      </x:c>
      <x:c r="I79" s="15" t="str">
        <x:v>经理</x:v>
      </x:c>
      <x:c r="J79" s="15" t="n">
        <x:f>COUNTIF($H$5:$H$229,H79)</x:f>
        <x:v>1</x:v>
      </x:c>
      <x:c r="K79" s="15" t="str">
        <x:f>IF(OR(J79&gt;1,ISNUMBER(SEARCH("兼",I79))),"是","否")</x:f>
        <x:v>否</x:v>
      </x:c>
      <x:c r="L79" s="13" t="str"/>
    </x:row>
    <x:row r="80" ht="15" hidden="0" customHeight="1">
      <x:c r="A80" s="14" t="n">
        <x:v>76</x:v>
      </x:c>
      <x:c r="B80" s="14" t="str">
        <x:v>总裁线</x:v>
      </x:c>
      <x:c r="C80" s="14" t="str">
        <x:v>总裁线</x:v>
      </x:c>
      <x:c r="D80" s="14" t="str">
        <x:v>行政中心</x:v>
      </x:c>
      <x:c r="E80" s="14" t="str">
        <x:v>资产部</x:v>
      </x:c>
      <x:c r="F80" s="14" t="str"/>
      <x:c r="G80" s="13" t="str">
        <x:v>股东会 &gt; 总裁线 &gt; 行政中心 &gt; 资产部</x:v>
      </x:c>
      <x:c r="H80" s="15" t="str">
        <x:v>周星川</x:v>
      </x:c>
      <x:c r="I80" s="15" t="str"/>
      <x:c r="J80" s="15" t="n">
        <x:f>COUNTIF($H$5:$H$229,H80)</x:f>
        <x:v>1</x:v>
      </x:c>
      <x:c r="K80" s="15" t="str">
        <x:f>IF(OR(J80&gt;1,ISNUMBER(SEARCH("兼",I80))),"是","否")</x:f>
        <x:v>否</x:v>
      </x:c>
      <x:c r="L80" s="13" t="str"/>
    </x:row>
    <x:row r="81" ht="15" hidden="0" customHeight="1">
      <x:c r="A81" s="14" t="n">
        <x:v>77</x:v>
      </x:c>
      <x:c r="B81" s="14" t="str">
        <x:v>总裁线</x:v>
      </x:c>
      <x:c r="C81" s="14" t="str">
        <x:v>总裁线</x:v>
      </x:c>
      <x:c r="D81" s="14" t="str">
        <x:v>行政中心</x:v>
      </x:c>
      <x:c r="E81" s="14" t="str">
        <x:v>后勤部</x:v>
      </x:c>
      <x:c r="F81" s="14" t="str"/>
      <x:c r="G81" s="13" t="str">
        <x:v>股东会 &gt; 总裁线 &gt; 行政中心 &gt; 后勤部</x:v>
      </x:c>
      <x:c r="H81" s="15" t="str">
        <x:v>钱予晴</x:v>
      </x:c>
      <x:c r="I81" s="15" t="str">
        <x:v>经理</x:v>
      </x:c>
      <x:c r="J81" s="15" t="n">
        <x:f>COUNTIF($H$5:$H$229,H81)</x:f>
        <x:v>1</x:v>
      </x:c>
      <x:c r="K81" s="15" t="str">
        <x:f>IF(OR(J81&gt;1,ISNUMBER(SEARCH("兼",I81))),"是","否")</x:f>
        <x:v>否</x:v>
      </x:c>
      <x:c r="L81" s="13" t="str"/>
    </x:row>
    <x:row r="82" ht="15" hidden="0" customHeight="1">
      <x:c r="A82" s="14" t="n">
        <x:v>78</x:v>
      </x:c>
      <x:c r="B82" s="14" t="str">
        <x:v>总裁线</x:v>
      </x:c>
      <x:c r="C82" s="14" t="str">
        <x:v>总裁线</x:v>
      </x:c>
      <x:c r="D82" s="14" t="str">
        <x:v>行政中心</x:v>
      </x:c>
      <x:c r="E82" s="14" t="str">
        <x:v>后勤部</x:v>
      </x:c>
      <x:c r="F82" s="14" t="str"/>
      <x:c r="G82" s="13" t="str">
        <x:v>股东会 &gt; 总裁线 &gt; 行政中心 &gt; 后勤部</x:v>
      </x:c>
      <x:c r="H82" s="15" t="str">
        <x:v>赵庭安</x:v>
      </x:c>
      <x:c r="I82" s="15" t="str">
        <x:v>副经理</x:v>
      </x:c>
      <x:c r="J82" s="15" t="n">
        <x:f>COUNTIF($H$5:$H$229,H82)</x:f>
        <x:v>1</x:v>
      </x:c>
      <x:c r="K82" s="15" t="str">
        <x:f>IF(OR(J82&gt;1,ISNUMBER(SEARCH("兼",I82))),"是","否")</x:f>
        <x:v>否</x:v>
      </x:c>
      <x:c r="L82" s="13" t="str"/>
    </x:row>
    <x:row r="83" ht="15" hidden="0" customHeight="1">
      <x:c r="A83" s="14" t="n">
        <x:v>79</x:v>
      </x:c>
      <x:c r="B83" s="14" t="str">
        <x:v>总裁线</x:v>
      </x:c>
      <x:c r="C83" s="14" t="str">
        <x:v>总裁线</x:v>
      </x:c>
      <x:c r="D83" s="14" t="str">
        <x:v>行政中心</x:v>
      </x:c>
      <x:c r="E83" s="14" t="str">
        <x:v>后勤部</x:v>
      </x:c>
      <x:c r="F83" s="14" t="str"/>
      <x:c r="G83" s="13" t="str">
        <x:v>股东会 &gt; 总裁线 &gt; 行政中心 &gt; 后勤部</x:v>
      </x:c>
      <x:c r="H83" s="15" t="str">
        <x:v>赵子谦</x:v>
      </x:c>
      <x:c r="I83" s="15" t="str"/>
      <x:c r="J83" s="15" t="n">
        <x:f>COUNTIF($H$5:$H$229,H83)</x:f>
        <x:v>1</x:v>
      </x:c>
      <x:c r="K83" s="15" t="str">
        <x:f>IF(OR(J83&gt;1,ISNUMBER(SEARCH("兼",I83))),"是","否")</x:f>
        <x:v>否</x:v>
      </x:c>
      <x:c r="L83" s="13" t="str"/>
    </x:row>
    <x:row r="84" ht="15" hidden="0" customHeight="1">
      <x:c r="A84" s="14" t="n">
        <x:v>80</x:v>
      </x:c>
      <x:c r="B84" s="14" t="str">
        <x:v>总裁线</x:v>
      </x:c>
      <x:c r="C84" s="14" t="str">
        <x:v>总裁线</x:v>
      </x:c>
      <x:c r="D84" s="14" t="str">
        <x:v>行政中心</x:v>
      </x:c>
      <x:c r="E84" s="14" t="str">
        <x:v>后勤部</x:v>
      </x:c>
      <x:c r="F84" s="14" t="str"/>
      <x:c r="G84" s="13" t="str">
        <x:v>股东会 &gt; 总裁线 &gt; 行政中心 &gt; 后勤部</x:v>
      </x:c>
      <x:c r="H84" s="15" t="str">
        <x:v>赵宸宇</x:v>
      </x:c>
      <x:c r="I84" s="15" t="str"/>
      <x:c r="J84" s="15" t="n">
        <x:f>COUNTIF($H$5:$H$229,H84)</x:f>
        <x:v>1</x:v>
      </x:c>
      <x:c r="K84" s="15" t="str">
        <x:f>IF(OR(J84&gt;1,ISNUMBER(SEARCH("兼",I84))),"是","否")</x:f>
        <x:v>否</x:v>
      </x:c>
      <x:c r="L84" s="13" t="str"/>
    </x:row>
    <x:row r="85" ht="15" hidden="0" customHeight="1">
      <x:c r="A85" s="14" t="n">
        <x:v>81</x:v>
      </x:c>
      <x:c r="B85" s="14" t="str">
        <x:v>总裁线</x:v>
      </x:c>
      <x:c r="C85" s="14" t="str">
        <x:v>总裁线</x:v>
      </x:c>
      <x:c r="D85" s="14" t="str">
        <x:v>行政中心</x:v>
      </x:c>
      <x:c r="E85" s="14" t="str">
        <x:v>后勤部</x:v>
      </x:c>
      <x:c r="F85" s="14" t="str"/>
      <x:c r="G85" s="13" t="str">
        <x:v>股东会 &gt; 总裁线 &gt; 行政中心 &gt; 后勤部</x:v>
      </x:c>
      <x:c r="H85" s="15" t="str">
        <x:v>褚静川</x:v>
      </x:c>
      <x:c r="I85" s="15" t="str"/>
      <x:c r="J85" s="15" t="n">
        <x:f>COUNTIF($H$5:$H$229,H85)</x:f>
        <x:v>1</x:v>
      </x:c>
      <x:c r="K85" s="15" t="str">
        <x:f>IF(OR(J85&gt;1,ISNUMBER(SEARCH("兼",I85))),"是","否")</x:f>
        <x:v>否</x:v>
      </x:c>
      <x:c r="L85" s="13" t="str"/>
    </x:row>
    <x:row r="86" ht="15" hidden="0" customHeight="1">
      <x:c r="A86" s="14" t="n">
        <x:v>82</x:v>
      </x:c>
      <x:c r="B86" s="14" t="str">
        <x:v>总裁线</x:v>
      </x:c>
      <x:c r="C86" s="14" t="str">
        <x:v>总裁线</x:v>
      </x:c>
      <x:c r="D86" s="14" t="str">
        <x:v>行政中心</x:v>
      </x:c>
      <x:c r="E86" s="14" t="str">
        <x:v>后勤部</x:v>
      </x:c>
      <x:c r="F86" s="14" t="str"/>
      <x:c r="G86" s="13" t="str">
        <x:v>股东会 &gt; 总裁线 &gt; 行政中心 &gt; 后勤部</x:v>
      </x:c>
      <x:c r="H86" s="15" t="str">
        <x:v>周亦辰</x:v>
      </x:c>
      <x:c r="I86" s="15" t="str"/>
      <x:c r="J86" s="15" t="n">
        <x:f>COUNTIF($H$5:$H$229,H86)</x:f>
        <x:v>1</x:v>
      </x:c>
      <x:c r="K86" s="15" t="str">
        <x:f>IF(OR(J86&gt;1,ISNUMBER(SEARCH("兼",I86))),"是","否")</x:f>
        <x:v>否</x:v>
      </x:c>
      <x:c r="L86" s="13" t="str"/>
    </x:row>
    <x:row r="87" ht="15" hidden="0" customHeight="1">
      <x:c r="A87" s="14" t="n">
        <x:v>83</x:v>
      </x:c>
      <x:c r="B87" s="14" t="str">
        <x:v>总裁线</x:v>
      </x:c>
      <x:c r="C87" s="14" t="str">
        <x:v>总裁线</x:v>
      </x:c>
      <x:c r="D87" s="14" t="str">
        <x:v>行政中心</x:v>
      </x:c>
      <x:c r="E87" s="14" t="str">
        <x:v>后勤部</x:v>
      </x:c>
      <x:c r="F87" s="14" t="str"/>
      <x:c r="G87" s="13" t="str">
        <x:v>股东会 &gt; 总裁线 &gt; 行政中心 &gt; 后勤部</x:v>
      </x:c>
      <x:c r="H87" s="15" t="str">
        <x:v>钱允禾</x:v>
      </x:c>
      <x:c r="I87" s="15" t="str"/>
      <x:c r="J87" s="15" t="n">
        <x:f>COUNTIF($H$5:$H$229,H87)</x:f>
        <x:v>1</x:v>
      </x:c>
      <x:c r="K87" s="15" t="str">
        <x:f>IF(OR(J87&gt;1,ISNUMBER(SEARCH("兼",I87))),"是","否")</x:f>
        <x:v>否</x:v>
      </x:c>
      <x:c r="L87" s="13" t="str"/>
    </x:row>
    <x:row r="88" ht="15" hidden="0" customHeight="1">
      <x:c r="A88" s="14" t="n">
        <x:v>84</x:v>
      </x:c>
      <x:c r="B88" s="14" t="str">
        <x:v>总裁线</x:v>
      </x:c>
      <x:c r="C88" s="14" t="str">
        <x:v>总裁线</x:v>
      </x:c>
      <x:c r="D88" s="14" t="str">
        <x:v>行政中心</x:v>
      </x:c>
      <x:c r="E88" s="14" t="str">
        <x:v>后勤部</x:v>
      </x:c>
      <x:c r="F88" s="14" t="str"/>
      <x:c r="G88" s="13" t="str">
        <x:v>股东会 &gt; 总裁线 &gt; 行政中心 &gt; 后勤部</x:v>
      </x:c>
      <x:c r="H88" s="15" t="str">
        <x:v>孙予晴</x:v>
      </x:c>
      <x:c r="I88" s="15" t="str"/>
      <x:c r="J88" s="15" t="n">
        <x:f>COUNTIF($H$5:$H$229,H88)</x:f>
        <x:v>1</x:v>
      </x:c>
      <x:c r="K88" s="15" t="str">
        <x:f>IF(OR(J88&gt;1,ISNUMBER(SEARCH("兼",I88))),"是","否")</x:f>
        <x:v>否</x:v>
      </x:c>
      <x:c r="L88" s="13" t="str"/>
    </x:row>
    <x:row r="89" ht="15" hidden="0" customHeight="1">
      <x:c r="A89" s="14" t="n">
        <x:v>85</x:v>
      </x:c>
      <x:c r="B89" s="14" t="str">
        <x:v>总裁线</x:v>
      </x:c>
      <x:c r="C89" s="14" t="str">
        <x:v>总裁线</x:v>
      </x:c>
      <x:c r="D89" s="14" t="str">
        <x:v>行政中心</x:v>
      </x:c>
      <x:c r="E89" s="14" t="str">
        <x:v>后勤部</x:v>
      </x:c>
      <x:c r="F89" s="14" t="str"/>
      <x:c r="G89" s="13" t="str">
        <x:v>股东会 &gt; 总裁线 &gt; 行政中心 &gt; 后勤部</x:v>
      </x:c>
      <x:c r="H89" s="15" t="str">
        <x:v>赵云舟</x:v>
      </x:c>
      <x:c r="I89" s="15" t="str"/>
      <x:c r="J89" s="15" t="n">
        <x:f>COUNTIF($H$5:$H$229,H89)</x:f>
        <x:v>1</x:v>
      </x:c>
      <x:c r="K89" s="15" t="str">
        <x:f>IF(OR(J89&gt;1,ISNUMBER(SEARCH("兼",I89))),"是","否")</x:f>
        <x:v>否</x:v>
      </x:c>
      <x:c r="L89" s="13" t="str"/>
    </x:row>
    <x:row r="90" ht="15" hidden="0" customHeight="1">
      <x:c r="A90" s="14" t="n">
        <x:v>86</x:v>
      </x:c>
      <x:c r="B90" s="14" t="str">
        <x:v>总裁线</x:v>
      </x:c>
      <x:c r="C90" s="14" t="str">
        <x:v>总裁线</x:v>
      </x:c>
      <x:c r="D90" s="14" t="str">
        <x:v>行政中心</x:v>
      </x:c>
      <x:c r="E90" s="14" t="str">
        <x:v>餐饮部</x:v>
      </x:c>
      <x:c r="F90" s="14" t="str"/>
      <x:c r="G90" s="13" t="str">
        <x:v>股东会 &gt; 总裁线 &gt; 行政中心 &gt; 餐饮部</x:v>
      </x:c>
      <x:c r="H90" s="15" t="str">
        <x:v>赵可为</x:v>
      </x:c>
      <x:c r="I90" s="15" t="str">
        <x:v>经理</x:v>
      </x:c>
      <x:c r="J90" s="15" t="n">
        <x:f>COUNTIF($H$5:$H$229,H90)</x:f>
        <x:v>1</x:v>
      </x:c>
      <x:c r="K90" s="15" t="str">
        <x:f>IF(OR(J90&gt;1,ISNUMBER(SEARCH("兼",I90))),"是","否")</x:f>
        <x:v>否</x:v>
      </x:c>
      <x:c r="L90" s="13" t="str"/>
    </x:row>
    <x:row r="91" ht="15" hidden="0" customHeight="1">
      <x:c r="A91" s="14" t="n">
        <x:v>87</x:v>
      </x:c>
      <x:c r="B91" s="14" t="str">
        <x:v>总裁线</x:v>
      </x:c>
      <x:c r="C91" s="14" t="str">
        <x:v>总裁线</x:v>
      </x:c>
      <x:c r="D91" s="14" t="str">
        <x:v>物业中心</x:v>
      </x:c>
      <x:c r="E91" s="14" t="str"/>
      <x:c r="F91" s="14" t="str"/>
      <x:c r="G91" s="13" t="str">
        <x:v>股东会 &gt; 总裁线 &gt; 物业中心</x:v>
      </x:c>
      <x:c r="H91" s="15" t="str">
        <x:v>赵映川</x:v>
      </x:c>
      <x:c r="I91" s="15" t="str">
        <x:v>总经理</x:v>
      </x:c>
      <x:c r="J91" s="15" t="n">
        <x:f>COUNTIF($H$5:$H$229,H91)</x:f>
        <x:v>1</x:v>
      </x:c>
      <x:c r="K91" s="15" t="str">
        <x:f>IF(OR(J91&gt;1,ISNUMBER(SEARCH("兼",I91))),"是","否")</x:f>
        <x:v>否</x:v>
      </x:c>
      <x:c r="L91" s="13" t="str"/>
    </x:row>
    <x:row r="92" ht="15" hidden="0" customHeight="1">
      <x:c r="A92" s="14" t="n">
        <x:v>88</x:v>
      </x:c>
      <x:c r="B92" s="14" t="str">
        <x:v>总裁线</x:v>
      </x:c>
      <x:c r="C92" s="14" t="str">
        <x:v>总裁线</x:v>
      </x:c>
      <x:c r="D92" s="14" t="str">
        <x:v>物业中心</x:v>
      </x:c>
      <x:c r="E92" s="14" t="str">
        <x:v>安保部</x:v>
      </x:c>
      <x:c r="F92" s="14" t="str"/>
      <x:c r="G92" s="13" t="str">
        <x:v>股东会 &gt; 总裁线 &gt; 物业中心 &gt; 安保部</x:v>
      </x:c>
      <x:c r="H92" s="15" t="str">
        <x:v>周可为</x:v>
      </x:c>
      <x:c r="I92" s="15" t="str">
        <x:v>经理</x:v>
      </x:c>
      <x:c r="J92" s="15" t="n">
        <x:f>COUNTIF($H$5:$H$229,H92)</x:f>
        <x:v>1</x:v>
      </x:c>
      <x:c r="K92" s="15" t="str">
        <x:f>IF(OR(J92&gt;1,ISNUMBER(SEARCH("兼",I92))),"是","否")</x:f>
        <x:v>否</x:v>
      </x:c>
      <x:c r="L92" s="13" t="str"/>
    </x:row>
    <x:row r="93" ht="15" hidden="0" customHeight="1">
      <x:c r="A93" s="14" t="n">
        <x:v>89</x:v>
      </x:c>
      <x:c r="B93" s="14" t="str">
        <x:v>总裁线</x:v>
      </x:c>
      <x:c r="C93" s="14" t="str">
        <x:v>总裁线</x:v>
      </x:c>
      <x:c r="D93" s="14" t="str">
        <x:v>物业中心</x:v>
      </x:c>
      <x:c r="E93" s="14" t="str">
        <x:v>安保部</x:v>
      </x:c>
      <x:c r="F93" s="14" t="str"/>
      <x:c r="G93" s="13" t="str">
        <x:v>股东会 &gt; 总裁线 &gt; 物业中心 &gt; 安保部</x:v>
      </x:c>
      <x:c r="H93" s="15" t="str">
        <x:v>钱云舟</x:v>
      </x:c>
      <x:c r="I93" s="15" t="str"/>
      <x:c r="J93" s="15" t="n">
        <x:f>COUNTIF($H$5:$H$229,H93)</x:f>
        <x:v>1</x:v>
      </x:c>
      <x:c r="K93" s="15" t="str">
        <x:f>IF(OR(J93&gt;1,ISNUMBER(SEARCH("兼",I93))),"是","否")</x:f>
        <x:v>否</x:v>
      </x:c>
      <x:c r="L93" s="13" t="str"/>
    </x:row>
    <x:row r="94" ht="15" hidden="0" customHeight="1">
      <x:c r="A94" s="14" t="n">
        <x:v>90</x:v>
      </x:c>
      <x:c r="B94" s="14" t="str">
        <x:v>总裁线</x:v>
      </x:c>
      <x:c r="C94" s="14" t="str">
        <x:v>总裁线</x:v>
      </x:c>
      <x:c r="D94" s="14" t="str">
        <x:v>物业中心</x:v>
      </x:c>
      <x:c r="E94" s="14" t="str">
        <x:v>环卫部</x:v>
      </x:c>
      <x:c r="F94" s="14" t="str"/>
      <x:c r="G94" s="13" t="str">
        <x:v>股东会 &gt; 总裁线 &gt; 物业中心 &gt; 环卫部</x:v>
      </x:c>
      <x:c r="H94" s="15" t="str">
        <x:v>赵嘉言</x:v>
      </x:c>
      <x:c r="I94" s="15" t="str">
        <x:v>经理</x:v>
      </x:c>
      <x:c r="J94" s="15" t="n">
        <x:f>COUNTIF($H$5:$H$229,H94)</x:f>
        <x:v>1</x:v>
      </x:c>
      <x:c r="K94" s="15" t="str">
        <x:f>IF(OR(J94&gt;1,ISNUMBER(SEARCH("兼",I94))),"是","否")</x:f>
        <x:v>否</x:v>
      </x:c>
      <x:c r="L94" s="13" t="str"/>
    </x:row>
    <x:row r="95" ht="15" hidden="0" customHeight="1">
      <x:c r="A95" s="14" t="n">
        <x:v>91</x:v>
      </x:c>
      <x:c r="B95" s="14" t="str">
        <x:v>总裁线</x:v>
      </x:c>
      <x:c r="C95" s="14" t="str">
        <x:v>总裁线</x:v>
      </x:c>
      <x:c r="D95" s="14" t="str">
        <x:v>物业中心</x:v>
      </x:c>
      <x:c r="E95" s="14" t="str">
        <x:v>环卫部</x:v>
      </x:c>
      <x:c r="F95" s="14" t="str"/>
      <x:c r="G95" s="13" t="str">
        <x:v>股东会 &gt; 总裁线 &gt; 物业中心 &gt; 环卫部</x:v>
      </x:c>
      <x:c r="H95" s="15" t="str">
        <x:v>孙嘉言</x:v>
      </x:c>
      <x:c r="I95" s="15" t="str"/>
      <x:c r="J95" s="15" t="n">
        <x:f>COUNTIF($H$5:$H$229,H95)</x:f>
        <x:v>1</x:v>
      </x:c>
      <x:c r="K95" s="15" t="str">
        <x:f>IF(OR(J95&gt;1,ISNUMBER(SEARCH("兼",I95))),"是","否")</x:f>
        <x:v>否</x:v>
      </x:c>
      <x:c r="L95" s="13" t="str"/>
    </x:row>
    <x:row r="96" ht="15" hidden="0" customHeight="1">
      <x:c r="A96" s="14" t="n">
        <x:v>92</x:v>
      </x:c>
      <x:c r="B96" s="14" t="str">
        <x:v>总裁线</x:v>
      </x:c>
      <x:c r="C96" s="14" t="str">
        <x:v>总裁线</x:v>
      </x:c>
      <x:c r="D96" s="14" t="str">
        <x:v>物业中心</x:v>
      </x:c>
      <x:c r="E96" s="14" t="str">
        <x:v>商管部</x:v>
      </x:c>
      <x:c r="F96" s="14" t="str"/>
      <x:c r="G96" s="13" t="str">
        <x:v>股东会 &gt; 总裁线 &gt; 物业中心 &gt; 商管部</x:v>
      </x:c>
      <x:c r="H96" s="15" t="str">
        <x:v>周思源</x:v>
      </x:c>
      <x:c r="I96" s="15" t="str">
        <x:v>经理</x:v>
      </x:c>
      <x:c r="J96" s="15" t="n">
        <x:f>COUNTIF($H$5:$H$229,H96)</x:f>
        <x:v>1</x:v>
      </x:c>
      <x:c r="K96" s="15" t="str">
        <x:f>IF(OR(J96&gt;1,ISNUMBER(SEARCH("兼",I96))),"是","否")</x:f>
        <x:v>否</x:v>
      </x:c>
      <x:c r="L96" s="13" t="str"/>
    </x:row>
    <x:row r="97" ht="15" hidden="0" customHeight="1">
      <x:c r="A97" s="14" t="n">
        <x:v>93</x:v>
      </x:c>
      <x:c r="B97" s="14" t="str">
        <x:v>总裁线</x:v>
      </x:c>
      <x:c r="C97" s="14" t="str">
        <x:v>总裁线</x:v>
      </x:c>
      <x:c r="D97" s="14" t="str">
        <x:v>物业中心</x:v>
      </x:c>
      <x:c r="E97" s="14" t="str">
        <x:v>商管部</x:v>
      </x:c>
      <x:c r="F97" s="14" t="str"/>
      <x:c r="G97" s="13" t="str">
        <x:v>股东会 &gt; 总裁线 &gt; 物业中心 &gt; 商管部</x:v>
      </x:c>
      <x:c r="H97" s="15" t="str">
        <x:v>周庭安</x:v>
      </x:c>
      <x:c r="I97" s="15" t="str"/>
      <x:c r="J97" s="15" t="n">
        <x:f>COUNTIF($H$5:$H$229,H97)</x:f>
        <x:v>1</x:v>
      </x:c>
      <x:c r="K97" s="15" t="str">
        <x:f>IF(OR(J97&gt;1,ISNUMBER(SEARCH("兼",I97))),"是","否")</x:f>
        <x:v>否</x:v>
      </x:c>
      <x:c r="L97" s="13" t="str"/>
    </x:row>
    <x:row r="98" ht="15" hidden="0" customHeight="1">
      <x:c r="A98" s="14" t="n">
        <x:v>94</x:v>
      </x:c>
      <x:c r="B98" s="14" t="str">
        <x:v>总裁线</x:v>
      </x:c>
      <x:c r="C98" s="14" t="str">
        <x:v>总裁线</x:v>
      </x:c>
      <x:c r="D98" s="14" t="str">
        <x:v>物业中心</x:v>
      </x:c>
      <x:c r="E98" s="14" t="str">
        <x:v>商管部</x:v>
      </x:c>
      <x:c r="F98" s="14" t="str"/>
      <x:c r="G98" s="13" t="str">
        <x:v>股东会 &gt; 总裁线 &gt; 物业中心 &gt; 商管部</x:v>
      </x:c>
      <x:c r="H98" s="15" t="str">
        <x:v>孙可为</x:v>
      </x:c>
      <x:c r="I98" s="15" t="str"/>
      <x:c r="J98" s="15" t="n">
        <x:f>COUNTIF($H$5:$H$229,H98)</x:f>
        <x:v>1</x:v>
      </x:c>
      <x:c r="K98" s="15" t="str">
        <x:f>IF(OR(J98&gt;1,ISNUMBER(SEARCH("兼",I98))),"是","否")</x:f>
        <x:v>否</x:v>
      </x:c>
      <x:c r="L98" s="13" t="str"/>
    </x:row>
    <x:row r="99" ht="15" hidden="0" customHeight="1">
      <x:c r="A99" s="14" t="n">
        <x:v>95</x:v>
      </x:c>
      <x:c r="B99" s="14" t="str">
        <x:v>总裁线</x:v>
      </x:c>
      <x:c r="C99" s="14" t="str">
        <x:v>总裁线</x:v>
      </x:c>
      <x:c r="D99" s="14" t="str">
        <x:v>物业中心</x:v>
      </x:c>
      <x:c r="E99" s="14" t="str">
        <x:v>商管部</x:v>
      </x:c>
      <x:c r="F99" s="14" t="str"/>
      <x:c r="G99" s="13" t="str">
        <x:v>股东会 &gt; 总裁线 &gt; 物业中心 &gt; 商管部</x:v>
      </x:c>
      <x:c r="H99" s="15" t="str">
        <x:v>郑卓然</x:v>
      </x:c>
      <x:c r="I99" s="15" t="str"/>
      <x:c r="J99" s="15" t="n">
        <x:f>COUNTIF($H$5:$H$229,H99)</x:f>
        <x:v>1</x:v>
      </x:c>
      <x:c r="K99" s="15" t="str">
        <x:f>IF(OR(J99&gt;1,ISNUMBER(SEARCH("兼",I99))),"是","否")</x:f>
        <x:v>否</x:v>
      </x:c>
      <x:c r="L99" s="13" t="str"/>
    </x:row>
    <x:row r="100" ht="15" hidden="0" customHeight="1">
      <x:c r="A100" s="14" t="n">
        <x:v>96</x:v>
      </x:c>
      <x:c r="B100" s="14" t="str">
        <x:v>总裁线</x:v>
      </x:c>
      <x:c r="C100" s="14" t="str">
        <x:v>总裁线</x:v>
      </x:c>
      <x:c r="D100" s="14" t="str">
        <x:v>物业中心</x:v>
      </x:c>
      <x:c r="E100" s="14" t="str">
        <x:v>商管部</x:v>
      </x:c>
      <x:c r="F100" s="14" t="str"/>
      <x:c r="G100" s="13" t="str">
        <x:v>股东会 &gt; 总裁线 &gt; 物业中心 &gt; 商管部</x:v>
      </x:c>
      <x:c r="H100" s="15" t="str">
        <x:v>冯沐辰</x:v>
      </x:c>
      <x:c r="I100" s="15" t="str"/>
      <x:c r="J100" s="15" t="n">
        <x:f>COUNTIF($H$5:$H$229,H100)</x:f>
        <x:v>1</x:v>
      </x:c>
      <x:c r="K100" s="15" t="str">
        <x:f>IF(OR(J100&gt;1,ISNUMBER(SEARCH("兼",I100))),"是","否")</x:f>
        <x:v>否</x:v>
      </x:c>
      <x:c r="L100" s="13" t="str"/>
    </x:row>
    <x:row r="101" ht="15" hidden="0" customHeight="1">
      <x:c r="A101" s="14" t="n">
        <x:v>97</x:v>
      </x:c>
      <x:c r="B101" s="14" t="str">
        <x:v>总裁线</x:v>
      </x:c>
      <x:c r="C101" s="14" t="str">
        <x:v>总裁线</x:v>
      </x:c>
      <x:c r="D101" s="14" t="str">
        <x:v>物业中心</x:v>
      </x:c>
      <x:c r="E101" s="14" t="str">
        <x:v>商管部</x:v>
      </x:c>
      <x:c r="F101" s="14" t="str"/>
      <x:c r="G101" s="13" t="str">
        <x:v>股东会 &gt; 总裁线 &gt; 物业中心 &gt; 商管部</x:v>
      </x:c>
      <x:c r="H101" s="15" t="str">
        <x:v>褚乐川</x:v>
      </x:c>
      <x:c r="I101" s="15" t="str"/>
      <x:c r="J101" s="15" t="n">
        <x:f>COUNTIF($H$5:$H$229,H101)</x:f>
        <x:v>1</x:v>
      </x:c>
      <x:c r="K101" s="15" t="str">
        <x:f>IF(OR(J101&gt;1,ISNUMBER(SEARCH("兼",I101))),"是","否")</x:f>
        <x:v>否</x:v>
      </x:c>
      <x:c r="L101" s="13" t="str"/>
    </x:row>
    <x:row r="102" ht="15" hidden="0" customHeight="1">
      <x:c r="A102" s="14" t="n">
        <x:v>98</x:v>
      </x:c>
      <x:c r="B102" s="14" t="str">
        <x:v>总裁线</x:v>
      </x:c>
      <x:c r="C102" s="14" t="str">
        <x:v>总裁线</x:v>
      </x:c>
      <x:c r="D102" s="14" t="str">
        <x:v>物业中心</x:v>
      </x:c>
      <x:c r="E102" s="14" t="str">
        <x:v>商管部</x:v>
      </x:c>
      <x:c r="F102" s="14" t="str"/>
      <x:c r="G102" s="13" t="str">
        <x:v>股东会 &gt; 总裁线 &gt; 物业中心 &gt; 商管部</x:v>
      </x:c>
      <x:c r="H102" s="15" t="str">
        <x:v>孙子谦</x:v>
      </x:c>
      <x:c r="I102" s="15" t="str"/>
      <x:c r="J102" s="15" t="n">
        <x:f>COUNTIF($H$5:$H$229,H102)</x:f>
        <x:v>1</x:v>
      </x:c>
      <x:c r="K102" s="15" t="str">
        <x:f>IF(OR(J102&gt;1,ISNUMBER(SEARCH("兼",I102))),"是","否")</x:f>
        <x:v>否</x:v>
      </x:c>
      <x:c r="L102" s="13" t="str"/>
    </x:row>
    <x:row r="103" ht="15" hidden="0" customHeight="1">
      <x:c r="A103" s="14" t="n">
        <x:v>99</x:v>
      </x:c>
      <x:c r="B103" s="14" t="str">
        <x:v>总裁线</x:v>
      </x:c>
      <x:c r="C103" s="14" t="str">
        <x:v>总裁线</x:v>
      </x:c>
      <x:c r="D103" s="14" t="str">
        <x:v>物业中心</x:v>
      </x:c>
      <x:c r="E103" s="14" t="str">
        <x:v>商管部</x:v>
      </x:c>
      <x:c r="F103" s="14" t="str"/>
      <x:c r="G103" s="13" t="str">
        <x:v>股东会 &gt; 总裁线 &gt; 物业中心 &gt; 商管部</x:v>
      </x:c>
      <x:c r="H103" s="15" t="str">
        <x:v>孙宸宇</x:v>
      </x:c>
      <x:c r="I103" s="15" t="str"/>
      <x:c r="J103" s="15" t="n">
        <x:f>COUNTIF($H$5:$H$229,H103)</x:f>
        <x:v>1</x:v>
      </x:c>
      <x:c r="K103" s="15" t="str">
        <x:f>IF(OR(J103&gt;1,ISNUMBER(SEARCH("兼",I103))),"是","否")</x:f>
        <x:v>否</x:v>
      </x:c>
      <x:c r="L103" s="13" t="str"/>
    </x:row>
    <x:row r="104" ht="15" hidden="0" customHeight="1">
      <x:c r="A104" s="14" t="n">
        <x:v>100</x:v>
      </x:c>
      <x:c r="B104" s="14" t="str">
        <x:v>总裁线</x:v>
      </x:c>
      <x:c r="C104" s="14" t="str">
        <x:v>总裁线</x:v>
      </x:c>
      <x:c r="D104" s="14" t="str">
        <x:v>演艺中心</x:v>
      </x:c>
      <x:c r="E104" s="14" t="str">
        <x:v>中心管理</x:v>
      </x:c>
      <x:c r="F104" s="14" t="str"/>
      <x:c r="G104" s="13" t="str">
        <x:v>股东会 &gt; 总裁线 &gt; 演艺中心 &gt; 中心管理</x:v>
      </x:c>
      <x:c r="H104" s="15" t="str">
        <x:v>赵予安</x:v>
      </x:c>
      <x:c r="I104" s="15" t="str">
        <x:v>总经理</x:v>
      </x:c>
      <x:c r="J104" s="15" t="n">
        <x:f>COUNTIF($H$5:$H$229,H104)</x:f>
        <x:v>3</x:v>
      </x:c>
      <x:c r="K104" s="15" t="str">
        <x:f>IF(OR(J104&gt;1,ISNUMBER(SEARCH("兼",I104))),"是","否")</x:f>
        <x:v>是</x:v>
      </x:c>
      <x:c r="L104" s="13" t="str"/>
    </x:row>
    <x:row r="105" ht="15" hidden="0" customHeight="1">
      <x:c r="A105" s="14" t="n">
        <x:v>101</x:v>
      </x:c>
      <x:c r="B105" s="14" t="str">
        <x:v>总裁线</x:v>
      </x:c>
      <x:c r="C105" s="14" t="str">
        <x:v>总裁线</x:v>
      </x:c>
      <x:c r="D105" s="14" t="str">
        <x:v>演艺中心</x:v>
      </x:c>
      <x:c r="E105" s="14" t="str">
        <x:v>中心管理</x:v>
      </x:c>
      <x:c r="F105" s="14" t="str"/>
      <x:c r="G105" s="13" t="str">
        <x:v>股东会 &gt; 总裁线 &gt; 演艺中心 &gt; 中心管理</x:v>
      </x:c>
      <x:c r="H105" s="15" t="str">
        <x:v>褚浩然</x:v>
      </x:c>
      <x:c r="I105" s="15" t="str">
        <x:v>艺术总监</x:v>
      </x:c>
      <x:c r="J105" s="15" t="n">
        <x:f>COUNTIF($H$5:$H$229,H105)</x:f>
        <x:v>1</x:v>
      </x:c>
      <x:c r="K105" s="15" t="str">
        <x:f>IF(OR(J105&gt;1,ISNUMBER(SEARCH("兼",I105))),"是","否")</x:f>
        <x:v>否</x:v>
      </x:c>
      <x:c r="L105" s="13" t="str"/>
    </x:row>
    <x:row r="106" ht="15" hidden="0" customHeight="1">
      <x:c r="A106" s="14" t="n">
        <x:v>102</x:v>
      </x:c>
      <x:c r="B106" s="14" t="str">
        <x:v>总裁线</x:v>
      </x:c>
      <x:c r="C106" s="14" t="str">
        <x:v>总裁线</x:v>
      </x:c>
      <x:c r="D106" s="14" t="str">
        <x:v>演艺中心</x:v>
      </x:c>
      <x:c r="E106" s="14" t="str">
        <x:v>表演部</x:v>
      </x:c>
      <x:c r="F106" s="14" t="str"/>
      <x:c r="G106" s="13" t="str">
        <x:v>股东会 &gt; 总裁线 &gt; 演艺中心 &gt; 表演部</x:v>
      </x:c>
      <x:c r="H106" s="15" t="str">
        <x:v>周逸凡</x:v>
      </x:c>
      <x:c r="I106" s="15" t="str"/>
      <x:c r="J106" s="15" t="n">
        <x:f>COUNTIF($H$5:$H$229,H106)</x:f>
        <x:v>1</x:v>
      </x:c>
      <x:c r="K106" s="15" t="str">
        <x:f>IF(OR(J106&gt;1,ISNUMBER(SEARCH("兼",I106))),"是","否")</x:f>
        <x:v>否</x:v>
      </x:c>
      <x:c r="L106" s="13" t="str"/>
    </x:row>
    <x:row r="107" ht="15" hidden="0" customHeight="1">
      <x:c r="A107" s="14" t="n">
        <x:v>103</x:v>
      </x:c>
      <x:c r="B107" s="14" t="str">
        <x:v>总裁线</x:v>
      </x:c>
      <x:c r="C107" s="14" t="str">
        <x:v>总裁线</x:v>
      </x:c>
      <x:c r="D107" s="14" t="str">
        <x:v>演艺中心</x:v>
      </x:c>
      <x:c r="E107" s="14" t="str">
        <x:v>表演部</x:v>
      </x:c>
      <x:c r="F107" s="14" t="str"/>
      <x:c r="G107" s="13" t="str">
        <x:v>股东会 &gt; 总裁线 &gt; 演艺中心 &gt; 表演部</x:v>
      </x:c>
      <x:c r="H107" s="15" t="str">
        <x:v>郑安宁</x:v>
      </x:c>
      <x:c r="I107" s="15" t="str"/>
      <x:c r="J107" s="15" t="n">
        <x:f>COUNTIF($H$5:$H$229,H107)</x:f>
        <x:v>1</x:v>
      </x:c>
      <x:c r="K107" s="15" t="str">
        <x:f>IF(OR(J107&gt;1,ISNUMBER(SEARCH("兼",I107))),"是","否")</x:f>
        <x:v>否</x:v>
      </x:c>
      <x:c r="L107" s="13" t="str"/>
    </x:row>
    <x:row r="108" ht="15" hidden="0" customHeight="1">
      <x:c r="A108" s="14" t="n">
        <x:v>104</x:v>
      </x:c>
      <x:c r="B108" s="14" t="str">
        <x:v>总裁线</x:v>
      </x:c>
      <x:c r="C108" s="14" t="str">
        <x:v>总裁线</x:v>
      </x:c>
      <x:c r="D108" s="14" t="str">
        <x:v>演艺中心</x:v>
      </x:c>
      <x:c r="E108" s="14" t="str">
        <x:v>表演部</x:v>
      </x:c>
      <x:c r="F108" s="14" t="str"/>
      <x:c r="G108" s="13" t="str">
        <x:v>股东会 &gt; 总裁线 &gt; 演艺中心 &gt; 表演部</x:v>
      </x:c>
      <x:c r="H108" s="15" t="str">
        <x:v>郑景和</x:v>
      </x:c>
      <x:c r="I108" s="15" t="str"/>
      <x:c r="J108" s="15" t="n">
        <x:f>COUNTIF($H$5:$H$229,H108)</x:f>
        <x:v>1</x:v>
      </x:c>
      <x:c r="K108" s="15" t="str">
        <x:f>IF(OR(J108&gt;1,ISNUMBER(SEARCH("兼",I108))),"是","否")</x:f>
        <x:v>否</x:v>
      </x:c>
      <x:c r="L108" s="13" t="str"/>
    </x:row>
    <x:row r="109" ht="15" hidden="0" customHeight="1">
      <x:c r="A109" s="14" t="n">
        <x:v>105</x:v>
      </x:c>
      <x:c r="B109" s="14" t="str">
        <x:v>总裁线</x:v>
      </x:c>
      <x:c r="C109" s="14" t="str">
        <x:v>总裁线</x:v>
      </x:c>
      <x:c r="D109" s="14" t="str">
        <x:v>演艺中心</x:v>
      </x:c>
      <x:c r="E109" s="14" t="str">
        <x:v>表演部</x:v>
      </x:c>
      <x:c r="F109" s="14" t="str"/>
      <x:c r="G109" s="13" t="str">
        <x:v>股东会 &gt; 总裁线 &gt; 演艺中心 &gt; 表演部</x:v>
      </x:c>
      <x:c r="H109" s="15" t="str">
        <x:v>郑嘉树</x:v>
      </x:c>
      <x:c r="I109" s="15" t="str"/>
      <x:c r="J109" s="15" t="n">
        <x:f>COUNTIF($H$5:$H$229,H109)</x:f>
        <x:v>1</x:v>
      </x:c>
      <x:c r="K109" s="15" t="str">
        <x:f>IF(OR(J109&gt;1,ISNUMBER(SEARCH("兼",I109))),"是","否")</x:f>
        <x:v>否</x:v>
      </x:c>
      <x:c r="L109" s="13" t="str"/>
    </x:row>
    <x:row r="110" ht="15" hidden="0" customHeight="1">
      <x:c r="A110" s="14" t="n">
        <x:v>106</x:v>
      </x:c>
      <x:c r="B110" s="14" t="str">
        <x:v>总裁线</x:v>
      </x:c>
      <x:c r="C110" s="14" t="str">
        <x:v>总裁线</x:v>
      </x:c>
      <x:c r="D110" s="14" t="str">
        <x:v>演艺中心</x:v>
      </x:c>
      <x:c r="E110" s="14" t="str">
        <x:v>表演部</x:v>
      </x:c>
      <x:c r="F110" s="14" t="str"/>
      <x:c r="G110" s="13" t="str">
        <x:v>股东会 &gt; 总裁线 &gt; 演艺中心 &gt; 表演部</x:v>
      </x:c>
      <x:c r="H110" s="15" t="str">
        <x:v>郑明远</x:v>
      </x:c>
      <x:c r="I110" s="15" t="str"/>
      <x:c r="J110" s="15" t="n">
        <x:f>COUNTIF($H$5:$H$229,H110)</x:f>
        <x:v>1</x:v>
      </x:c>
      <x:c r="K110" s="15" t="str">
        <x:f>IF(OR(J110&gt;1,ISNUMBER(SEARCH("兼",I110))),"是","否")</x:f>
        <x:v>否</x:v>
      </x:c>
      <x:c r="L110" s="13" t="str"/>
    </x:row>
    <x:row r="111" ht="15" hidden="0" customHeight="1">
      <x:c r="A111" s="14" t="n">
        <x:v>107</x:v>
      </x:c>
      <x:c r="B111" s="14" t="str">
        <x:v>总裁线</x:v>
      </x:c>
      <x:c r="C111" s="14" t="str">
        <x:v>总裁线</x:v>
      </x:c>
      <x:c r="D111" s="14" t="str">
        <x:v>演艺中心</x:v>
      </x:c>
      <x:c r="E111" s="14" t="str">
        <x:v>表演部</x:v>
      </x:c>
      <x:c r="F111" s="14" t="str"/>
      <x:c r="G111" s="13" t="str">
        <x:v>股东会 &gt; 总裁线 &gt; 演艺中心 &gt; 表演部</x:v>
      </x:c>
      <x:c r="H111" s="15" t="str">
        <x:v>郑星川</x:v>
      </x:c>
      <x:c r="I111" s="15" t="str"/>
      <x:c r="J111" s="15" t="n">
        <x:f>COUNTIF($H$5:$H$229,H111)</x:f>
        <x:v>1</x:v>
      </x:c>
      <x:c r="K111" s="15" t="str">
        <x:f>IF(OR(J111&gt;1,ISNUMBER(SEARCH("兼",I111))),"是","否")</x:f>
        <x:v>否</x:v>
      </x:c>
      <x:c r="L111" s="13" t="str"/>
    </x:row>
    <x:row r="112" ht="15" hidden="0" customHeight="1">
      <x:c r="A112" s="14" t="n">
        <x:v>108</x:v>
      </x:c>
      <x:c r="B112" s="14" t="str">
        <x:v>总裁线</x:v>
      </x:c>
      <x:c r="C112" s="14" t="str">
        <x:v>总裁线</x:v>
      </x:c>
      <x:c r="D112" s="14" t="str">
        <x:v>演艺中心</x:v>
      </x:c>
      <x:c r="E112" s="14" t="str">
        <x:v>表演部</x:v>
      </x:c>
      <x:c r="F112" s="14" t="str"/>
      <x:c r="G112" s="13" t="str">
        <x:v>股东会 &gt; 总裁线 &gt; 演艺中心 &gt; 表演部</x:v>
      </x:c>
      <x:c r="H112" s="15" t="str">
        <x:v>郑知远</x:v>
      </x:c>
      <x:c r="I112" s="15" t="str"/>
      <x:c r="J112" s="15" t="n">
        <x:f>COUNTIF($H$5:$H$229,H112)</x:f>
        <x:v>1</x:v>
      </x:c>
      <x:c r="K112" s="15" t="str">
        <x:f>IF(OR(J112&gt;1,ISNUMBER(SEARCH("兼",I112))),"是","否")</x:f>
        <x:v>否</x:v>
      </x:c>
      <x:c r="L112" s="13" t="str"/>
    </x:row>
    <x:row r="113" ht="15" hidden="0" customHeight="1">
      <x:c r="A113" s="14" t="n">
        <x:v>109</x:v>
      </x:c>
      <x:c r="B113" s="14" t="str">
        <x:v>总裁线</x:v>
      </x:c>
      <x:c r="C113" s="14" t="str">
        <x:v>总裁线</x:v>
      </x:c>
      <x:c r="D113" s="14" t="str">
        <x:v>演艺中心</x:v>
      </x:c>
      <x:c r="E113" s="14" t="str">
        <x:v>表演部</x:v>
      </x:c>
      <x:c r="F113" s="14" t="str"/>
      <x:c r="G113" s="13" t="str">
        <x:v>股东会 &gt; 总裁线 &gt; 演艺中心 &gt; 表演部</x:v>
      </x:c>
      <x:c r="H113" s="15" t="str">
        <x:v>郑书航</x:v>
      </x:c>
      <x:c r="I113" s="15" t="str"/>
      <x:c r="J113" s="15" t="n">
        <x:f>COUNTIF($H$5:$H$229,H113)</x:f>
        <x:v>1</x:v>
      </x:c>
      <x:c r="K113" s="15" t="str">
        <x:f>IF(OR(J113&gt;1,ISNUMBER(SEARCH("兼",I113))),"是","否")</x:f>
        <x:v>否</x:v>
      </x:c>
      <x:c r="L113" s="13" t="str"/>
    </x:row>
    <x:row r="114" ht="15" hidden="0" customHeight="1">
      <x:c r="A114" s="14" t="n">
        <x:v>110</x:v>
      </x:c>
      <x:c r="B114" s="14" t="str">
        <x:v>总裁线</x:v>
      </x:c>
      <x:c r="C114" s="14" t="str">
        <x:v>总裁线</x:v>
      </x:c>
      <x:c r="D114" s="14" t="str">
        <x:v>演艺中心</x:v>
      </x:c>
      <x:c r="E114" s="14" t="str">
        <x:v>表演部</x:v>
      </x:c>
      <x:c r="F114" s="14" t="str"/>
      <x:c r="G114" s="13" t="str">
        <x:v>股东会 &gt; 总裁线 &gt; 演艺中心 &gt; 表演部</x:v>
      </x:c>
      <x:c r="H114" s="15" t="str">
        <x:v>郑允禾</x:v>
      </x:c>
      <x:c r="I114" s="15" t="str"/>
      <x:c r="J114" s="15" t="n">
        <x:f>COUNTIF($H$5:$H$229,H114)</x:f>
        <x:v>1</x:v>
      </x:c>
      <x:c r="K114" s="15" t="str">
        <x:f>IF(OR(J114&gt;1,ISNUMBER(SEARCH("兼",I114))),"是","否")</x:f>
        <x:v>否</x:v>
      </x:c>
      <x:c r="L114" s="13" t="str"/>
    </x:row>
    <x:row r="115" ht="15" hidden="0" customHeight="1">
      <x:c r="A115" s="14" t="n">
        <x:v>111</x:v>
      </x:c>
      <x:c r="B115" s="14" t="str">
        <x:v>总裁线</x:v>
      </x:c>
      <x:c r="C115" s="14" t="str">
        <x:v>总裁线</x:v>
      </x:c>
      <x:c r="D115" s="14" t="str">
        <x:v>演艺中心</x:v>
      </x:c>
      <x:c r="E115" s="14" t="str">
        <x:v>表演部</x:v>
      </x:c>
      <x:c r="F115" s="14" t="str"/>
      <x:c r="G115" s="13" t="str">
        <x:v>股东会 &gt; 总裁线 &gt; 演艺中心 &gt; 表演部</x:v>
      </x:c>
      <x:c r="H115" s="15" t="str">
        <x:v>郑景行</x:v>
      </x:c>
      <x:c r="I115" s="15" t="str"/>
      <x:c r="J115" s="15" t="n">
        <x:f>COUNTIF($H$5:$H$229,H115)</x:f>
        <x:v>1</x:v>
      </x:c>
      <x:c r="K115" s="15" t="str">
        <x:f>IF(OR(J115&gt;1,ISNUMBER(SEARCH("兼",I115))),"是","否")</x:f>
        <x:v>否</x:v>
      </x:c>
      <x:c r="L115" s="13" t="str"/>
    </x:row>
    <x:row r="116" ht="15" hidden="0" customHeight="1">
      <x:c r="A116" s="14" t="n">
        <x:v>112</x:v>
      </x:c>
      <x:c r="B116" s="14" t="str">
        <x:v>总裁线</x:v>
      </x:c>
      <x:c r="C116" s="14" t="str">
        <x:v>总裁线</x:v>
      </x:c>
      <x:c r="D116" s="14" t="str">
        <x:v>演艺中心</x:v>
      </x:c>
      <x:c r="E116" s="14" t="str">
        <x:v>表演部</x:v>
      </x:c>
      <x:c r="F116" s="14" t="str"/>
      <x:c r="G116" s="13" t="str">
        <x:v>股东会 &gt; 总裁线 &gt; 演艺中心 &gt; 表演部</x:v>
      </x:c>
      <x:c r="H116" s="15" t="str">
        <x:v>郑可为</x:v>
      </x:c>
      <x:c r="I116" s="15" t="str"/>
      <x:c r="J116" s="15" t="n">
        <x:f>COUNTIF($H$5:$H$229,H116)</x:f>
        <x:v>1</x:v>
      </x:c>
      <x:c r="K116" s="15" t="str">
        <x:f>IF(OR(J116&gt;1,ISNUMBER(SEARCH("兼",I116))),"是","否")</x:f>
        <x:v>否</x:v>
      </x:c>
      <x:c r="L116" s="13" t="str"/>
    </x:row>
    <x:row r="117" ht="15" hidden="0" customHeight="1">
      <x:c r="A117" s="14" t="n">
        <x:v>113</x:v>
      </x:c>
      <x:c r="B117" s="14" t="str">
        <x:v>总裁线</x:v>
      </x:c>
      <x:c r="C117" s="14" t="str">
        <x:v>总裁线</x:v>
      </x:c>
      <x:c r="D117" s="14" t="str">
        <x:v>演艺中心</x:v>
      </x:c>
      <x:c r="E117" s="14" t="str">
        <x:v>表演部</x:v>
      </x:c>
      <x:c r="F117" s="14" t="str"/>
      <x:c r="G117" s="13" t="str">
        <x:v>股东会 &gt; 总裁线 &gt; 演艺中心 &gt; 表演部</x:v>
      </x:c>
      <x:c r="H117" s="15" t="str">
        <x:v>郑予晴</x:v>
      </x:c>
      <x:c r="I117" s="15" t="str"/>
      <x:c r="J117" s="15" t="n">
        <x:f>COUNTIF($H$5:$H$229,H117)</x:f>
        <x:v>1</x:v>
      </x:c>
      <x:c r="K117" s="15" t="str">
        <x:f>IF(OR(J117&gt;1,ISNUMBER(SEARCH("兼",I117))),"是","否")</x:f>
        <x:v>否</x:v>
      </x:c>
      <x:c r="L117" s="13" t="str"/>
    </x:row>
    <x:row r="118" ht="15" hidden="0" customHeight="1">
      <x:c r="A118" s="14" t="n">
        <x:v>114</x:v>
      </x:c>
      <x:c r="B118" s="14" t="str">
        <x:v>总裁线</x:v>
      </x:c>
      <x:c r="C118" s="14" t="str">
        <x:v>总裁线</x:v>
      </x:c>
      <x:c r="D118" s="14" t="str">
        <x:v>演艺中心</x:v>
      </x:c>
      <x:c r="E118" s="14" t="str">
        <x:v>表演部</x:v>
      </x:c>
      <x:c r="F118" s="14" t="str"/>
      <x:c r="G118" s="13" t="str">
        <x:v>股东会 &gt; 总裁线 &gt; 演艺中心 &gt; 表演部</x:v>
      </x:c>
      <x:c r="H118" s="15" t="str">
        <x:v>冯安宁</x:v>
      </x:c>
      <x:c r="I118" s="15" t="str"/>
      <x:c r="J118" s="15" t="n">
        <x:f>COUNTIF($H$5:$H$229,H118)</x:f>
        <x:v>1</x:v>
      </x:c>
      <x:c r="K118" s="15" t="str">
        <x:f>IF(OR(J118&gt;1,ISNUMBER(SEARCH("兼",I118))),"是","否")</x:f>
        <x:v>否</x:v>
      </x:c>
      <x:c r="L118" s="13" t="str"/>
    </x:row>
    <x:row r="119" ht="15" hidden="0" customHeight="1">
      <x:c r="A119" s="14" t="n">
        <x:v>115</x:v>
      </x:c>
      <x:c r="B119" s="14" t="str">
        <x:v>总裁线</x:v>
      </x:c>
      <x:c r="C119" s="14" t="str">
        <x:v>总裁线</x:v>
      </x:c>
      <x:c r="D119" s="14" t="str">
        <x:v>演艺中心</x:v>
      </x:c>
      <x:c r="E119" s="14" t="str">
        <x:v>表演部</x:v>
      </x:c>
      <x:c r="F119" s="14" t="str"/>
      <x:c r="G119" s="13" t="str">
        <x:v>股东会 &gt; 总裁线 &gt; 演艺中心 &gt; 表演部</x:v>
      </x:c>
      <x:c r="H119" s="15" t="str">
        <x:v>冯明远</x:v>
      </x:c>
      <x:c r="I119" s="15" t="str"/>
      <x:c r="J119" s="15" t="n">
        <x:f>COUNTIF($H$5:$H$229,H119)</x:f>
        <x:v>1</x:v>
      </x:c>
      <x:c r="K119" s="15" t="str">
        <x:f>IF(OR(J119&gt;1,ISNUMBER(SEARCH("兼",I119))),"是","否")</x:f>
        <x:v>否</x:v>
      </x:c>
      <x:c r="L119" s="13" t="str"/>
    </x:row>
    <x:row r="120" ht="15" hidden="0" customHeight="1">
      <x:c r="A120" s="14" t="n">
        <x:v>116</x:v>
      </x:c>
      <x:c r="B120" s="14" t="str">
        <x:v>总裁线</x:v>
      </x:c>
      <x:c r="C120" s="14" t="str">
        <x:v>总裁线</x:v>
      </x:c>
      <x:c r="D120" s="14" t="str">
        <x:v>演艺中心</x:v>
      </x:c>
      <x:c r="E120" s="14" t="str">
        <x:v>表演部</x:v>
      </x:c>
      <x:c r="F120" s="14" t="str"/>
      <x:c r="G120" s="13" t="str">
        <x:v>股东会 &gt; 总裁线 &gt; 演艺中心 &gt; 表演部</x:v>
      </x:c>
      <x:c r="H120" s="15" t="str">
        <x:v>冯星川</x:v>
      </x:c>
      <x:c r="I120" s="15" t="str"/>
      <x:c r="J120" s="15" t="n">
        <x:f>COUNTIF($H$5:$H$229,H120)</x:f>
        <x:v>1</x:v>
      </x:c>
      <x:c r="K120" s="15" t="str">
        <x:f>IF(OR(J120&gt;1,ISNUMBER(SEARCH("兼",I120))),"是","否")</x:f>
        <x:v>否</x:v>
      </x:c>
      <x:c r="L120" s="13" t="str"/>
    </x:row>
    <x:row r="121" ht="15" hidden="0" customHeight="1">
      <x:c r="A121" s="14" t="n">
        <x:v>117</x:v>
      </x:c>
      <x:c r="B121" s="14" t="str">
        <x:v>总裁线</x:v>
      </x:c>
      <x:c r="C121" s="14" t="str">
        <x:v>总裁线</x:v>
      </x:c>
      <x:c r="D121" s="14" t="str">
        <x:v>演艺中心</x:v>
      </x:c>
      <x:c r="E121" s="14" t="str">
        <x:v>表演部</x:v>
      </x:c>
      <x:c r="F121" s="14" t="str"/>
      <x:c r="G121" s="13" t="str">
        <x:v>股东会 &gt; 总裁线 &gt; 演艺中心 &gt; 表演部</x:v>
      </x:c>
      <x:c r="H121" s="15" t="str">
        <x:v>冯清越</x:v>
      </x:c>
      <x:c r="I121" s="15" t="str"/>
      <x:c r="J121" s="15" t="n">
        <x:f>COUNTIF($H$5:$H$229,H121)</x:f>
        <x:v>1</x:v>
      </x:c>
      <x:c r="K121" s="15" t="str">
        <x:f>IF(OR(J121&gt;1,ISNUMBER(SEARCH("兼",I121))),"是","否")</x:f>
        <x:v>否</x:v>
      </x:c>
      <x:c r="L121" s="13" t="str"/>
    </x:row>
    <x:row r="122" ht="15" hidden="0" customHeight="1">
      <x:c r="A122" s="14" t="n">
        <x:v>118</x:v>
      </x:c>
      <x:c r="B122" s="14" t="str">
        <x:v>总裁线</x:v>
      </x:c>
      <x:c r="C122" s="14" t="str">
        <x:v>总裁线</x:v>
      </x:c>
      <x:c r="D122" s="14" t="str">
        <x:v>演艺中心</x:v>
      </x:c>
      <x:c r="E122" s="14" t="str">
        <x:v>表演部</x:v>
      </x:c>
      <x:c r="F122" s="14" t="str"/>
      <x:c r="G122" s="13" t="str">
        <x:v>股东会 &gt; 总裁线 &gt; 演艺中心 &gt; 表演部</x:v>
      </x:c>
      <x:c r="H122" s="15" t="str">
        <x:v>冯知远</x:v>
      </x:c>
      <x:c r="I122" s="15" t="str"/>
      <x:c r="J122" s="15" t="n">
        <x:f>COUNTIF($H$5:$H$229,H122)</x:f>
        <x:v>1</x:v>
      </x:c>
      <x:c r="K122" s="15" t="str">
        <x:f>IF(OR(J122&gt;1,ISNUMBER(SEARCH("兼",I122))),"是","否")</x:f>
        <x:v>否</x:v>
      </x:c>
      <x:c r="L122" s="13" t="str"/>
    </x:row>
    <x:row r="123" ht="15" hidden="0" customHeight="1">
      <x:c r="A123" s="14" t="n">
        <x:v>119</x:v>
      </x:c>
      <x:c r="B123" s="14" t="str">
        <x:v>总裁线</x:v>
      </x:c>
      <x:c r="C123" s="14" t="str">
        <x:v>总裁线</x:v>
      </x:c>
      <x:c r="D123" s="14" t="str">
        <x:v>演艺中心</x:v>
      </x:c>
      <x:c r="E123" s="14" t="str">
        <x:v>表演部</x:v>
      </x:c>
      <x:c r="F123" s="14" t="str"/>
      <x:c r="G123" s="13" t="str">
        <x:v>股东会 &gt; 总裁线 &gt; 演艺中心 &gt; 表演部</x:v>
      </x:c>
      <x:c r="H123" s="15" t="str">
        <x:v>冯书航</x:v>
      </x:c>
      <x:c r="I123" s="15" t="str"/>
      <x:c r="J123" s="15" t="n">
        <x:f>COUNTIF($H$5:$H$229,H123)</x:f>
        <x:v>1</x:v>
      </x:c>
      <x:c r="K123" s="15" t="str">
        <x:f>IF(OR(J123&gt;1,ISNUMBER(SEARCH("兼",I123))),"是","否")</x:f>
        <x:v>否</x:v>
      </x:c>
      <x:c r="L123" s="13" t="str"/>
    </x:row>
    <x:row r="124" ht="15" hidden="0" customHeight="1">
      <x:c r="A124" s="14" t="n">
        <x:v>120</x:v>
      </x:c>
      <x:c r="B124" s="14" t="str">
        <x:v>总裁线</x:v>
      </x:c>
      <x:c r="C124" s="14" t="str">
        <x:v>总裁线</x:v>
      </x:c>
      <x:c r="D124" s="14" t="str">
        <x:v>演艺中心</x:v>
      </x:c>
      <x:c r="E124" s="14" t="str">
        <x:v>表演部</x:v>
      </x:c>
      <x:c r="F124" s="14" t="str"/>
      <x:c r="G124" s="13" t="str">
        <x:v>股东会 &gt; 总裁线 &gt; 演艺中心 &gt; 表演部</x:v>
      </x:c>
      <x:c r="H124" s="15" t="str">
        <x:v>冯若溪</x:v>
      </x:c>
      <x:c r="I124" s="15" t="str"/>
      <x:c r="J124" s="15" t="n">
        <x:f>COUNTIF($H$5:$H$229,H124)</x:f>
        <x:v>1</x:v>
      </x:c>
      <x:c r="K124" s="15" t="str">
        <x:f>IF(OR(J124&gt;1,ISNUMBER(SEARCH("兼",I124))),"是","否")</x:f>
        <x:v>否</x:v>
      </x:c>
      <x:c r="L124" s="13" t="str"/>
    </x:row>
    <x:row r="125" ht="15" hidden="0" customHeight="1">
      <x:c r="A125" s="14" t="n">
        <x:v>121</x:v>
      </x:c>
      <x:c r="B125" s="14" t="str">
        <x:v>总裁线</x:v>
      </x:c>
      <x:c r="C125" s="14" t="str">
        <x:v>总裁线</x:v>
      </x:c>
      <x:c r="D125" s="14" t="str">
        <x:v>演艺中心</x:v>
      </x:c>
      <x:c r="E125" s="14" t="str">
        <x:v>表演部</x:v>
      </x:c>
      <x:c r="F125" s="14" t="str"/>
      <x:c r="G125" s="13" t="str">
        <x:v>股东会 &gt; 总裁线 &gt; 演艺中心 &gt; 表演部</x:v>
      </x:c>
      <x:c r="H125" s="15" t="str">
        <x:v>冯映川</x:v>
      </x:c>
      <x:c r="I125" s="15" t="str"/>
      <x:c r="J125" s="15" t="n">
        <x:f>COUNTIF($H$5:$H$229,H125)</x:f>
        <x:v>1</x:v>
      </x:c>
      <x:c r="K125" s="15" t="str">
        <x:f>IF(OR(J125&gt;1,ISNUMBER(SEARCH("兼",I125))),"是","否")</x:f>
        <x:v>否</x:v>
      </x:c>
      <x:c r="L125" s="13" t="str"/>
    </x:row>
    <x:row r="126" ht="15" hidden="0" customHeight="1">
      <x:c r="A126" s="14" t="n">
        <x:v>122</x:v>
      </x:c>
      <x:c r="B126" s="14" t="str">
        <x:v>总裁线</x:v>
      </x:c>
      <x:c r="C126" s="14" t="str">
        <x:v>总裁线</x:v>
      </x:c>
      <x:c r="D126" s="14" t="str">
        <x:v>演艺中心</x:v>
      </x:c>
      <x:c r="E126" s="14" t="str">
        <x:v>表演部</x:v>
      </x:c>
      <x:c r="F126" s="14" t="str"/>
      <x:c r="G126" s="13" t="str">
        <x:v>股东会 &gt; 总裁线 &gt; 演艺中心 &gt; 表演部</x:v>
      </x:c>
      <x:c r="H126" s="15" t="str">
        <x:v>冯云舟</x:v>
      </x:c>
      <x:c r="I126" s="15" t="str"/>
      <x:c r="J126" s="15" t="n">
        <x:f>COUNTIF($H$5:$H$229,H126)</x:f>
        <x:v>1</x:v>
      </x:c>
      <x:c r="K126" s="15" t="str">
        <x:f>IF(OR(J126&gt;1,ISNUMBER(SEARCH("兼",I126))),"是","否")</x:f>
        <x:v>否</x:v>
      </x:c>
      <x:c r="L126" s="13" t="str"/>
    </x:row>
    <x:row r="127" ht="15" hidden="0" customHeight="1">
      <x:c r="A127" s="14" t="n">
        <x:v>123</x:v>
      </x:c>
      <x:c r="B127" s="14" t="str">
        <x:v>总裁线</x:v>
      </x:c>
      <x:c r="C127" s="14" t="str">
        <x:v>总裁线</x:v>
      </x:c>
      <x:c r="D127" s="14" t="str">
        <x:v>演艺中心</x:v>
      </x:c>
      <x:c r="E127" s="14" t="str">
        <x:v>表演部</x:v>
      </x:c>
      <x:c r="F127" s="14" t="str"/>
      <x:c r="G127" s="13" t="str">
        <x:v>股东会 &gt; 总裁线 &gt; 演艺中心 &gt; 表演部</x:v>
      </x:c>
      <x:c r="H127" s="15" t="str">
        <x:v>冯庭安</x:v>
      </x:c>
      <x:c r="I127" s="15" t="str"/>
      <x:c r="J127" s="15" t="n">
        <x:f>COUNTIF($H$5:$H$229,H127)</x:f>
        <x:v>1</x:v>
      </x:c>
      <x:c r="K127" s="15" t="str">
        <x:f>IF(OR(J127&gt;1,ISNUMBER(SEARCH("兼",I127))),"是","否")</x:f>
        <x:v>否</x:v>
      </x:c>
      <x:c r="L127" s="13" t="str"/>
    </x:row>
    <x:row r="128" ht="15" hidden="0" customHeight="1">
      <x:c r="A128" s="14" t="n">
        <x:v>124</x:v>
      </x:c>
      <x:c r="B128" s="14" t="str">
        <x:v>总裁线</x:v>
      </x:c>
      <x:c r="C128" s="14" t="str">
        <x:v>总裁线</x:v>
      </x:c>
      <x:c r="D128" s="14" t="str">
        <x:v>演艺中心</x:v>
      </x:c>
      <x:c r="E128" s="14" t="str">
        <x:v>表演部</x:v>
      </x:c>
      <x:c r="F128" s="14" t="str"/>
      <x:c r="G128" s="13" t="str">
        <x:v>股东会 &gt; 总裁线 &gt; 演艺中心 &gt; 表演部</x:v>
      </x:c>
      <x:c r="H128" s="15" t="str">
        <x:v>冯亦辰</x:v>
      </x:c>
      <x:c r="I128" s="15" t="str"/>
      <x:c r="J128" s="15" t="n">
        <x:f>COUNTIF($H$5:$H$229,H128)</x:f>
        <x:v>1</x:v>
      </x:c>
      <x:c r="K128" s="15" t="str">
        <x:f>IF(OR(J128&gt;1,ISNUMBER(SEARCH("兼",I128))),"是","否")</x:f>
        <x:v>否</x:v>
      </x:c>
      <x:c r="L128" s="13" t="str"/>
    </x:row>
    <x:row r="129" ht="15" hidden="0" customHeight="1">
      <x:c r="A129" s="14" t="n">
        <x:v>125</x:v>
      </x:c>
      <x:c r="B129" s="14" t="str">
        <x:v>总裁线</x:v>
      </x:c>
      <x:c r="C129" s="14" t="str">
        <x:v>总裁线</x:v>
      </x:c>
      <x:c r="D129" s="14" t="str">
        <x:v>演艺中心</x:v>
      </x:c>
      <x:c r="E129" s="14" t="str">
        <x:v>表演部</x:v>
      </x:c>
      <x:c r="F129" s="14" t="str"/>
      <x:c r="G129" s="13" t="str">
        <x:v>股东会 &gt; 总裁线 &gt; 演艺中心 &gt; 表演部</x:v>
      </x:c>
      <x:c r="H129" s="15" t="str">
        <x:v>冯嘉言</x:v>
      </x:c>
      <x:c r="I129" s="15" t="str"/>
      <x:c r="J129" s="15" t="n">
        <x:f>COUNTIF($H$5:$H$229,H129)</x:f>
        <x:v>1</x:v>
      </x:c>
      <x:c r="K129" s="15" t="str">
        <x:f>IF(OR(J129&gt;1,ISNUMBER(SEARCH("兼",I129))),"是","否")</x:f>
        <x:v>否</x:v>
      </x:c>
      <x:c r="L129" s="13" t="str"/>
    </x:row>
    <x:row r="130" ht="15" hidden="0" customHeight="1">
      <x:c r="A130" s="14" t="n">
        <x:v>126</x:v>
      </x:c>
      <x:c r="B130" s="14" t="str">
        <x:v>总裁线</x:v>
      </x:c>
      <x:c r="C130" s="14" t="str">
        <x:v>总裁线</x:v>
      </x:c>
      <x:c r="D130" s="14" t="str">
        <x:v>演艺中心</x:v>
      </x:c>
      <x:c r="E130" s="14" t="str">
        <x:v>表演部</x:v>
      </x:c>
      <x:c r="F130" s="14" t="str"/>
      <x:c r="G130" s="13" t="str">
        <x:v>股东会 &gt; 总裁线 &gt; 演艺中心 &gt; 表演部</x:v>
      </x:c>
      <x:c r="H130" s="15" t="str">
        <x:v>冯景行</x:v>
      </x:c>
      <x:c r="I130" s="15" t="str"/>
      <x:c r="J130" s="15" t="n">
        <x:f>COUNTIF($H$5:$H$229,H130)</x:f>
        <x:v>1</x:v>
      </x:c>
      <x:c r="K130" s="15" t="str">
        <x:f>IF(OR(J130&gt;1,ISNUMBER(SEARCH("兼",I130))),"是","否")</x:f>
        <x:v>否</x:v>
      </x:c>
      <x:c r="L130" s="13" t="str"/>
    </x:row>
    <x:row r="131" ht="15" hidden="0" customHeight="1">
      <x:c r="A131" s="14" t="n">
        <x:v>127</x:v>
      </x:c>
      <x:c r="B131" s="14" t="str">
        <x:v>总裁线</x:v>
      </x:c>
      <x:c r="C131" s="14" t="str">
        <x:v>总裁线</x:v>
      </x:c>
      <x:c r="D131" s="14" t="str">
        <x:v>演艺中心</x:v>
      </x:c>
      <x:c r="E131" s="14" t="str">
        <x:v>表演部</x:v>
      </x:c>
      <x:c r="F131" s="14" t="str"/>
      <x:c r="G131" s="13" t="str">
        <x:v>股东会 &gt; 总裁线 &gt; 演艺中心 &gt; 表演部</x:v>
      </x:c>
      <x:c r="H131" s="15" t="str">
        <x:v>冯可为</x:v>
      </x:c>
      <x:c r="I131" s="15" t="str"/>
      <x:c r="J131" s="15" t="n">
        <x:f>COUNTIF($H$5:$H$229,H131)</x:f>
        <x:v>1</x:v>
      </x:c>
      <x:c r="K131" s="15" t="str">
        <x:f>IF(OR(J131&gt;1,ISNUMBER(SEARCH("兼",I131))),"是","否")</x:f>
        <x:v>否</x:v>
      </x:c>
      <x:c r="L131" s="13" t="str"/>
    </x:row>
    <x:row r="132" ht="15" hidden="0" customHeight="1">
      <x:c r="A132" s="14" t="n">
        <x:v>128</x:v>
      </x:c>
      <x:c r="B132" s="14" t="str">
        <x:v>总裁线</x:v>
      </x:c>
      <x:c r="C132" s="14" t="str">
        <x:v>总裁线</x:v>
      </x:c>
      <x:c r="D132" s="14" t="str">
        <x:v>演艺中心</x:v>
      </x:c>
      <x:c r="E132" s="14" t="str">
        <x:v>表演部</x:v>
      </x:c>
      <x:c r="F132" s="14" t="str"/>
      <x:c r="G132" s="13" t="str">
        <x:v>股东会 &gt; 总裁线 &gt; 演艺中心 &gt; 表演部</x:v>
      </x:c>
      <x:c r="H132" s="15" t="str">
        <x:v>冯思源</x:v>
      </x:c>
      <x:c r="I132" s="15" t="str"/>
      <x:c r="J132" s="15" t="n">
        <x:f>COUNTIF($H$5:$H$229,H132)</x:f>
        <x:v>1</x:v>
      </x:c>
      <x:c r="K132" s="15" t="str">
        <x:f>IF(OR(J132&gt;1,ISNUMBER(SEARCH("兼",I132))),"是","否")</x:f>
        <x:v>否</x:v>
      </x:c>
      <x:c r="L132" s="13" t="str"/>
    </x:row>
    <x:row r="133" ht="15" hidden="0" customHeight="1">
      <x:c r="A133" s="14" t="n">
        <x:v>129</x:v>
      </x:c>
      <x:c r="B133" s="14" t="str">
        <x:v>总裁线</x:v>
      </x:c>
      <x:c r="C133" s="14" t="str">
        <x:v>总裁线</x:v>
      </x:c>
      <x:c r="D133" s="14" t="str">
        <x:v>演艺中心</x:v>
      </x:c>
      <x:c r="E133" s="14" t="str">
        <x:v>表演部</x:v>
      </x:c>
      <x:c r="F133" s="14" t="str"/>
      <x:c r="G133" s="13" t="str">
        <x:v>股东会 &gt; 总裁线 &gt; 演艺中心 &gt; 表演部</x:v>
      </x:c>
      <x:c r="H133" s="15" t="str">
        <x:v>冯乐川</x:v>
      </x:c>
      <x:c r="I133" s="15" t="str"/>
      <x:c r="J133" s="15" t="n">
        <x:f>COUNTIF($H$5:$H$229,H133)</x:f>
        <x:v>1</x:v>
      </x:c>
      <x:c r="K133" s="15" t="str">
        <x:f>IF(OR(J133&gt;1,ISNUMBER(SEARCH("兼",I133))),"是","否")</x:f>
        <x:v>否</x:v>
      </x:c>
      <x:c r="L133" s="13" t="str"/>
    </x:row>
    <x:row r="134" ht="15" hidden="0" customHeight="1">
      <x:c r="A134" s="14" t="n">
        <x:v>130</x:v>
      </x:c>
      <x:c r="B134" s="14" t="str">
        <x:v>总裁线</x:v>
      </x:c>
      <x:c r="C134" s="14" t="str">
        <x:v>总裁线</x:v>
      </x:c>
      <x:c r="D134" s="14" t="str">
        <x:v>演艺中心</x:v>
      </x:c>
      <x:c r="E134" s="14" t="str">
        <x:v>表演部</x:v>
      </x:c>
      <x:c r="F134" s="14" t="str"/>
      <x:c r="G134" s="13" t="str">
        <x:v>股东会 &gt; 总裁线 &gt; 演艺中心 &gt; 表演部</x:v>
      </x:c>
      <x:c r="H134" s="15" t="str">
        <x:v>冯语桐</x:v>
      </x:c>
      <x:c r="I134" s="15" t="str"/>
      <x:c r="J134" s="15" t="n">
        <x:f>COUNTIF($H$5:$H$229,H134)</x:f>
        <x:v>1</x:v>
      </x:c>
      <x:c r="K134" s="15" t="str">
        <x:f>IF(OR(J134&gt;1,ISNUMBER(SEARCH("兼",I134))),"是","否")</x:f>
        <x:v>否</x:v>
      </x:c>
      <x:c r="L134" s="13" t="str"/>
    </x:row>
    <x:row r="135" ht="15" hidden="0" customHeight="1">
      <x:c r="A135" s="14" t="n">
        <x:v>131</x:v>
      </x:c>
      <x:c r="B135" s="14" t="str">
        <x:v>总裁线</x:v>
      </x:c>
      <x:c r="C135" s="14" t="str">
        <x:v>总裁线</x:v>
      </x:c>
      <x:c r="D135" s="14" t="str">
        <x:v>演艺中心</x:v>
      </x:c>
      <x:c r="E135" s="14" t="str">
        <x:v>表演部</x:v>
      </x:c>
      <x:c r="F135" s="14" t="str"/>
      <x:c r="G135" s="13" t="str">
        <x:v>股东会 &gt; 总裁线 &gt; 演艺中心 &gt; 表演部</x:v>
      </x:c>
      <x:c r="H135" s="15" t="str">
        <x:v>冯子谦</x:v>
      </x:c>
      <x:c r="I135" s="15" t="str"/>
      <x:c r="J135" s="15" t="n">
        <x:f>COUNTIF($H$5:$H$229,H135)</x:f>
        <x:v>1</x:v>
      </x:c>
      <x:c r="K135" s="15" t="str">
        <x:f>IF(OR(J135&gt;1,ISNUMBER(SEARCH("兼",I135))),"是","否")</x:f>
        <x:v>否</x:v>
      </x:c>
      <x:c r="L135" s="13" t="str"/>
    </x:row>
    <x:row r="136" ht="15" hidden="0" customHeight="1">
      <x:c r="A136" s="14" t="n">
        <x:v>132</x:v>
      </x:c>
      <x:c r="B136" s="14" t="str">
        <x:v>总裁线</x:v>
      </x:c>
      <x:c r="C136" s="14" t="str">
        <x:v>总裁线</x:v>
      </x:c>
      <x:c r="D136" s="14" t="str">
        <x:v>演艺中心</x:v>
      </x:c>
      <x:c r="E136" s="14" t="str">
        <x:v>表演部</x:v>
      </x:c>
      <x:c r="F136" s="14" t="str"/>
      <x:c r="G136" s="13" t="str">
        <x:v>股东会 &gt; 总裁线 &gt; 演艺中心 &gt; 表演部</x:v>
      </x:c>
      <x:c r="H136" s="15" t="str">
        <x:v>冯希文</x:v>
      </x:c>
      <x:c r="I136" s="15" t="str"/>
      <x:c r="J136" s="15" t="n">
        <x:f>COUNTIF($H$5:$H$229,H136)</x:f>
        <x:v>1</x:v>
      </x:c>
      <x:c r="K136" s="15" t="str">
        <x:f>IF(OR(J136&gt;1,ISNUMBER(SEARCH("兼",I136))),"是","否")</x:f>
        <x:v>否</x:v>
      </x:c>
      <x:c r="L136" s="13" t="str"/>
    </x:row>
    <x:row r="137" ht="15" hidden="0" customHeight="1">
      <x:c r="A137" s="14" t="n">
        <x:v>133</x:v>
      </x:c>
      <x:c r="B137" s="14" t="str">
        <x:v>总裁线</x:v>
      </x:c>
      <x:c r="C137" s="14" t="str">
        <x:v>总裁线</x:v>
      </x:c>
      <x:c r="D137" s="14" t="str">
        <x:v>演艺中心</x:v>
      </x:c>
      <x:c r="E137" s="14" t="str">
        <x:v>表演部</x:v>
      </x:c>
      <x:c r="F137" s="14" t="str"/>
      <x:c r="G137" s="13" t="str">
        <x:v>股东会 &gt; 总裁线 &gt; 演艺中心 &gt; 表演部</x:v>
      </x:c>
      <x:c r="H137" s="15" t="str">
        <x:v>冯宸宇</x:v>
      </x:c>
      <x:c r="I137" s="15" t="str"/>
      <x:c r="J137" s="15" t="n">
        <x:f>COUNTIF($H$5:$H$229,H137)</x:f>
        <x:v>1</x:v>
      </x:c>
      <x:c r="K137" s="15" t="str">
        <x:f>IF(OR(J137&gt;1,ISNUMBER(SEARCH("兼",I137))),"是","否")</x:f>
        <x:v>否</x:v>
      </x:c>
      <x:c r="L137" s="13" t="str"/>
    </x:row>
    <x:row r="138" ht="15" hidden="0" customHeight="1">
      <x:c r="A138" s="14" t="n">
        <x:v>134</x:v>
      </x:c>
      <x:c r="B138" s="14" t="str">
        <x:v>总裁线</x:v>
      </x:c>
      <x:c r="C138" s="14" t="str">
        <x:v>总裁线</x:v>
      </x:c>
      <x:c r="D138" s="14" t="str">
        <x:v>演艺中心</x:v>
      </x:c>
      <x:c r="E138" s="14" t="str">
        <x:v>表演部</x:v>
      </x:c>
      <x:c r="F138" s="14" t="str"/>
      <x:c r="G138" s="13" t="str">
        <x:v>股东会 &gt; 总裁线 &gt; 演艺中心 &gt; 表演部</x:v>
      </x:c>
      <x:c r="H138" s="15" t="str">
        <x:v>冯予晴</x:v>
      </x:c>
      <x:c r="I138" s="15" t="str"/>
      <x:c r="J138" s="15" t="n">
        <x:f>COUNTIF($H$5:$H$229,H138)</x:f>
        <x:v>1</x:v>
      </x:c>
      <x:c r="K138" s="15" t="str">
        <x:f>IF(OR(J138&gt;1,ISNUMBER(SEARCH("兼",I138))),"是","否")</x:f>
        <x:v>否</x:v>
      </x:c>
      <x:c r="L138" s="13" t="str"/>
    </x:row>
    <x:row r="139" ht="15" hidden="0" customHeight="1">
      <x:c r="A139" s="14" t="n">
        <x:v>135</x:v>
      </x:c>
      <x:c r="B139" s="14" t="str">
        <x:v>总裁线</x:v>
      </x:c>
      <x:c r="C139" s="14" t="str">
        <x:v>总裁线</x:v>
      </x:c>
      <x:c r="D139" s="14" t="str">
        <x:v>演艺中心</x:v>
      </x:c>
      <x:c r="E139" s="14" t="str">
        <x:v>表演部</x:v>
      </x:c>
      <x:c r="F139" s="14" t="str"/>
      <x:c r="G139" s="13" t="str">
        <x:v>股东会 &gt; 总裁线 &gt; 演艺中心 &gt; 表演部</x:v>
      </x:c>
      <x:c r="H139" s="15" t="str">
        <x:v>冯静川</x:v>
      </x:c>
      <x:c r="I139" s="15" t="str"/>
      <x:c r="J139" s="15" t="n">
        <x:f>COUNTIF($H$5:$H$229,H139)</x:f>
        <x:v>1</x:v>
      </x:c>
      <x:c r="K139" s="15" t="str">
        <x:f>IF(OR(J139&gt;1,ISNUMBER(SEARCH("兼",I139))),"是","否")</x:f>
        <x:v>否</x:v>
      </x:c>
      <x:c r="L139" s="13" t="str"/>
    </x:row>
    <x:row r="140" ht="15" hidden="0" customHeight="1">
      <x:c r="A140" s="14" t="n">
        <x:v>136</x:v>
      </x:c>
      <x:c r="B140" s="14" t="str">
        <x:v>总裁线</x:v>
      </x:c>
      <x:c r="C140" s="14" t="str">
        <x:v>总裁线</x:v>
      </x:c>
      <x:c r="D140" s="14" t="str">
        <x:v>演艺中心</x:v>
      </x:c>
      <x:c r="E140" s="14" t="str">
        <x:v>表演部</x:v>
      </x:c>
      <x:c r="F140" s="14" t="str"/>
      <x:c r="G140" s="13" t="str">
        <x:v>股东会 &gt; 总裁线 &gt; 演艺中心 &gt; 表演部</x:v>
      </x:c>
      <x:c r="H140" s="15" t="str">
        <x:v>冯卓然</x:v>
      </x:c>
      <x:c r="I140" s="15" t="str"/>
      <x:c r="J140" s="15" t="n">
        <x:f>COUNTIF($H$5:$H$229,H140)</x:f>
        <x:v>1</x:v>
      </x:c>
      <x:c r="K140" s="15" t="str">
        <x:f>IF(OR(J140&gt;1,ISNUMBER(SEARCH("兼",I140))),"是","否")</x:f>
        <x:v>否</x:v>
      </x:c>
      <x:c r="L140" s="13" t="str"/>
    </x:row>
    <x:row r="141" ht="15" hidden="0" customHeight="1">
      <x:c r="A141" s="14" t="n">
        <x:v>137</x:v>
      </x:c>
      <x:c r="B141" s="14" t="str">
        <x:v>总裁线</x:v>
      </x:c>
      <x:c r="C141" s="14" t="str">
        <x:v>总裁线</x:v>
      </x:c>
      <x:c r="D141" s="14" t="str">
        <x:v>演艺中心</x:v>
      </x:c>
      <x:c r="E141" s="14" t="str">
        <x:v>表演部</x:v>
      </x:c>
      <x:c r="F141" s="14" t="str"/>
      <x:c r="G141" s="13" t="str">
        <x:v>股东会 &gt; 总裁线 &gt; 演艺中心 &gt; 表演部</x:v>
      </x:c>
      <x:c r="H141" s="15" t="str">
        <x:v>冯浩然</x:v>
      </x:c>
      <x:c r="I141" s="15" t="str"/>
      <x:c r="J141" s="15" t="n">
        <x:f>COUNTIF($H$5:$H$229,H141)</x:f>
        <x:v>1</x:v>
      </x:c>
      <x:c r="K141" s="15" t="str">
        <x:f>IF(OR(J141&gt;1,ISNUMBER(SEARCH("兼",I141))),"是","否")</x:f>
        <x:v>否</x:v>
      </x:c>
      <x:c r="L141" s="13" t="str"/>
    </x:row>
    <x:row r="142" ht="15" hidden="0" customHeight="1">
      <x:c r="A142" s="14" t="n">
        <x:v>138</x:v>
      </x:c>
      <x:c r="B142" s="14" t="str">
        <x:v>总裁线</x:v>
      </x:c>
      <x:c r="C142" s="14" t="str">
        <x:v>总裁线</x:v>
      </x:c>
      <x:c r="D142" s="14" t="str">
        <x:v>演艺中心</x:v>
      </x:c>
      <x:c r="E142" s="14" t="str">
        <x:v>表演部</x:v>
      </x:c>
      <x:c r="F142" s="14" t="str"/>
      <x:c r="G142" s="13" t="str">
        <x:v>股东会 &gt; 总裁线 &gt; 演艺中心 &gt; 表演部</x:v>
      </x:c>
      <x:c r="H142" s="15" t="str">
        <x:v>冯逸凡</x:v>
      </x:c>
      <x:c r="I142" s="15" t="str"/>
      <x:c r="J142" s="15" t="n">
        <x:f>COUNTIF($H$5:$H$229,H142)</x:f>
        <x:v>1</x:v>
      </x:c>
      <x:c r="K142" s="15" t="str">
        <x:f>IF(OR(J142&gt;1,ISNUMBER(SEARCH("兼",I142))),"是","否")</x:f>
        <x:v>否</x:v>
      </x:c>
      <x:c r="L142" s="13" t="str"/>
    </x:row>
    <x:row r="143" ht="15" hidden="0" customHeight="1">
      <x:c r="A143" s="14" t="n">
        <x:v>139</x:v>
      </x:c>
      <x:c r="B143" s="14" t="str">
        <x:v>总裁线</x:v>
      </x:c>
      <x:c r="C143" s="14" t="str">
        <x:v>总裁线</x:v>
      </x:c>
      <x:c r="D143" s="14" t="str">
        <x:v>演艺中心</x:v>
      </x:c>
      <x:c r="E143" s="14" t="str">
        <x:v>表演部</x:v>
      </x:c>
      <x:c r="F143" s="14" t="str"/>
      <x:c r="G143" s="13" t="str">
        <x:v>股东会 &gt; 总裁线 &gt; 演艺中心 &gt; 表演部</x:v>
      </x:c>
      <x:c r="H143" s="15" t="str">
        <x:v>褚安宁</x:v>
      </x:c>
      <x:c r="I143" s="15" t="str"/>
      <x:c r="J143" s="15" t="n">
        <x:f>COUNTIF($H$5:$H$229,H143)</x:f>
        <x:v>1</x:v>
      </x:c>
      <x:c r="K143" s="15" t="str">
        <x:f>IF(OR(J143&gt;1,ISNUMBER(SEARCH("兼",I143))),"是","否")</x:f>
        <x:v>否</x:v>
      </x:c>
      <x:c r="L143" s="13" t="str"/>
    </x:row>
    <x:row r="144" ht="15" hidden="0" customHeight="1">
      <x:c r="A144" s="14" t="n">
        <x:v>140</x:v>
      </x:c>
      <x:c r="B144" s="14" t="str">
        <x:v>总裁线</x:v>
      </x:c>
      <x:c r="C144" s="14" t="str">
        <x:v>总裁线</x:v>
      </x:c>
      <x:c r="D144" s="14" t="str">
        <x:v>演艺中心</x:v>
      </x:c>
      <x:c r="E144" s="14" t="str">
        <x:v>表演部</x:v>
      </x:c>
      <x:c r="F144" s="14" t="str"/>
      <x:c r="G144" s="13" t="str">
        <x:v>股东会 &gt; 总裁线 &gt; 演艺中心 &gt; 表演部</x:v>
      </x:c>
      <x:c r="H144" s="15" t="str">
        <x:v>褚明远</x:v>
      </x:c>
      <x:c r="I144" s="15" t="str"/>
      <x:c r="J144" s="15" t="n">
        <x:f>COUNTIF($H$5:$H$229,H144)</x:f>
        <x:v>1</x:v>
      </x:c>
      <x:c r="K144" s="15" t="str">
        <x:f>IF(OR(J144&gt;1,ISNUMBER(SEARCH("兼",I144))),"是","否")</x:f>
        <x:v>否</x:v>
      </x:c>
      <x:c r="L144" s="13" t="str"/>
    </x:row>
    <x:row r="145" ht="15" hidden="0" customHeight="1">
      <x:c r="A145" s="14" t="n">
        <x:v>141</x:v>
      </x:c>
      <x:c r="B145" s="14" t="str">
        <x:v>总裁线</x:v>
      </x:c>
      <x:c r="C145" s="14" t="str">
        <x:v>总裁线</x:v>
      </x:c>
      <x:c r="D145" s="14" t="str">
        <x:v>演艺中心</x:v>
      </x:c>
      <x:c r="E145" s="14" t="str">
        <x:v>表演部</x:v>
      </x:c>
      <x:c r="F145" s="14" t="str"/>
      <x:c r="G145" s="13" t="str">
        <x:v>股东会 &gt; 总裁线 &gt; 演艺中心 &gt; 表演部</x:v>
      </x:c>
      <x:c r="H145" s="15" t="str">
        <x:v>褚景和</x:v>
      </x:c>
      <x:c r="I145" s="15" t="str"/>
      <x:c r="J145" s="15" t="n">
        <x:f>COUNTIF($H$5:$H$229,H145)</x:f>
        <x:v>1</x:v>
      </x:c>
      <x:c r="K145" s="15" t="str">
        <x:f>IF(OR(J145&gt;1,ISNUMBER(SEARCH("兼",I145))),"是","否")</x:f>
        <x:v>否</x:v>
      </x:c>
      <x:c r="L145" s="13" t="str"/>
    </x:row>
    <x:row r="146" ht="15" hidden="0" customHeight="1">
      <x:c r="A146" s="14" t="n">
        <x:v>142</x:v>
      </x:c>
      <x:c r="B146" s="14" t="str">
        <x:v>总裁线</x:v>
      </x:c>
      <x:c r="C146" s="14" t="str">
        <x:v>总裁线</x:v>
      </x:c>
      <x:c r="D146" s="14" t="str">
        <x:v>演艺中心</x:v>
      </x:c>
      <x:c r="E146" s="14" t="str">
        <x:v>表演部</x:v>
      </x:c>
      <x:c r="F146" s="14" t="str"/>
      <x:c r="G146" s="13" t="str">
        <x:v>股东会 &gt; 总裁线 &gt; 演艺中心 &gt; 表演部</x:v>
      </x:c>
      <x:c r="H146" s="15" t="str">
        <x:v>褚星川</x:v>
      </x:c>
      <x:c r="I146" s="15" t="str"/>
      <x:c r="J146" s="15" t="n">
        <x:f>COUNTIF($H$5:$H$229,H146)</x:f>
        <x:v>1</x:v>
      </x:c>
      <x:c r="K146" s="15" t="str">
        <x:f>IF(OR(J146&gt;1,ISNUMBER(SEARCH("兼",I146))),"是","否")</x:f>
        <x:v>否</x:v>
      </x:c>
      <x:c r="L146" s="13" t="str"/>
    </x:row>
    <x:row r="147" ht="15" hidden="0" customHeight="1">
      <x:c r="A147" s="14" t="n">
        <x:v>143</x:v>
      </x:c>
      <x:c r="B147" s="14" t="str">
        <x:v>总裁线</x:v>
      </x:c>
      <x:c r="C147" s="14" t="str">
        <x:v>总裁线</x:v>
      </x:c>
      <x:c r="D147" s="14" t="str">
        <x:v>演艺中心</x:v>
      </x:c>
      <x:c r="E147" s="14" t="str">
        <x:v>表演部</x:v>
      </x:c>
      <x:c r="F147" s="14" t="str"/>
      <x:c r="G147" s="13" t="str">
        <x:v>股东会 &gt; 总裁线 &gt; 演艺中心 &gt; 表演部</x:v>
      </x:c>
      <x:c r="H147" s="15" t="str">
        <x:v>褚沐辰</x:v>
      </x:c>
      <x:c r="I147" s="15" t="str"/>
      <x:c r="J147" s="15" t="n">
        <x:f>COUNTIF($H$5:$H$229,H147)</x:f>
        <x:v>1</x:v>
      </x:c>
      <x:c r="K147" s="15" t="str">
        <x:f>IF(OR(J147&gt;1,ISNUMBER(SEARCH("兼",I147))),"是","否")</x:f>
        <x:v>否</x:v>
      </x:c>
      <x:c r="L147" s="13" t="str"/>
    </x:row>
    <x:row r="148" ht="15" hidden="0" customHeight="1">
      <x:c r="A148" s="14" t="n">
        <x:v>144</x:v>
      </x:c>
      <x:c r="B148" s="14" t="str">
        <x:v>总裁线</x:v>
      </x:c>
      <x:c r="C148" s="14" t="str">
        <x:v>总裁线</x:v>
      </x:c>
      <x:c r="D148" s="14" t="str">
        <x:v>演艺中心</x:v>
      </x:c>
      <x:c r="E148" s="14" t="str">
        <x:v>表演部</x:v>
      </x:c>
      <x:c r="F148" s="14" t="str"/>
      <x:c r="G148" s="13" t="str">
        <x:v>股东会 &gt; 总裁线 &gt; 演艺中心 &gt; 表演部</x:v>
      </x:c>
      <x:c r="H148" s="15" t="str">
        <x:v>褚知远</x:v>
      </x:c>
      <x:c r="I148" s="15" t="str"/>
      <x:c r="J148" s="15" t="n">
        <x:f>COUNTIF($H$5:$H$229,H148)</x:f>
        <x:v>1</x:v>
      </x:c>
      <x:c r="K148" s="15" t="str">
        <x:f>IF(OR(J148&gt;1,ISNUMBER(SEARCH("兼",I148))),"是","否")</x:f>
        <x:v>否</x:v>
      </x:c>
      <x:c r="L148" s="13" t="str"/>
    </x:row>
    <x:row r="149" ht="15" hidden="0" customHeight="1">
      <x:c r="A149" s="14" t="n">
        <x:v>145</x:v>
      </x:c>
      <x:c r="B149" s="14" t="str">
        <x:v>总裁线</x:v>
      </x:c>
      <x:c r="C149" s="14" t="str">
        <x:v>总裁线</x:v>
      </x:c>
      <x:c r="D149" s="14" t="str">
        <x:v>演艺中心</x:v>
      </x:c>
      <x:c r="E149" s="14" t="str">
        <x:v>表演部</x:v>
      </x:c>
      <x:c r="F149" s="14" t="str"/>
      <x:c r="G149" s="13" t="str">
        <x:v>股东会 &gt; 总裁线 &gt; 演艺中心 &gt; 表演部</x:v>
      </x:c>
      <x:c r="H149" s="15" t="str">
        <x:v>褚书航</x:v>
      </x:c>
      <x:c r="I149" s="15" t="str"/>
      <x:c r="J149" s="15" t="n">
        <x:f>COUNTIF($H$5:$H$229,H149)</x:f>
        <x:v>1</x:v>
      </x:c>
      <x:c r="K149" s="15" t="str">
        <x:f>IF(OR(J149&gt;1,ISNUMBER(SEARCH("兼",I149))),"是","否")</x:f>
        <x:v>否</x:v>
      </x:c>
      <x:c r="L149" s="13" t="str"/>
    </x:row>
    <x:row r="150" ht="15" hidden="0" customHeight="1">
      <x:c r="A150" s="14" t="n">
        <x:v>146</x:v>
      </x:c>
      <x:c r="B150" s="14" t="str">
        <x:v>总裁线</x:v>
      </x:c>
      <x:c r="C150" s="14" t="str">
        <x:v>总裁线</x:v>
      </x:c>
      <x:c r="D150" s="14" t="str">
        <x:v>演艺中心</x:v>
      </x:c>
      <x:c r="E150" s="14" t="str">
        <x:v>表演部</x:v>
      </x:c>
      <x:c r="F150" s="14" t="str"/>
      <x:c r="G150" s="13" t="str">
        <x:v>股东会 &gt; 总裁线 &gt; 演艺中心 &gt; 表演部</x:v>
      </x:c>
      <x:c r="H150" s="15" t="str">
        <x:v>褚若溪</x:v>
      </x:c>
      <x:c r="I150" s="15" t="str"/>
      <x:c r="J150" s="15" t="n">
        <x:f>COUNTIF($H$5:$H$229,H150)</x:f>
        <x:v>1</x:v>
      </x:c>
      <x:c r="K150" s="15" t="str">
        <x:f>IF(OR(J150&gt;1,ISNUMBER(SEARCH("兼",I150))),"是","否")</x:f>
        <x:v>否</x:v>
      </x:c>
      <x:c r="L150" s="13" t="str"/>
    </x:row>
    <x:row r="151" ht="15" hidden="0" customHeight="1">
      <x:c r="A151" s="14" t="n">
        <x:v>147</x:v>
      </x:c>
      <x:c r="B151" s="14" t="str">
        <x:v>总裁线</x:v>
      </x:c>
      <x:c r="C151" s="14" t="str">
        <x:v>总裁线</x:v>
      </x:c>
      <x:c r="D151" s="14" t="str">
        <x:v>演艺中心</x:v>
      </x:c>
      <x:c r="E151" s="14" t="str">
        <x:v>表演部</x:v>
      </x:c>
      <x:c r="F151" s="14" t="str"/>
      <x:c r="G151" s="13" t="str">
        <x:v>股东会 &gt; 总裁线 &gt; 演艺中心 &gt; 表演部</x:v>
      </x:c>
      <x:c r="H151" s="15" t="str">
        <x:v>褚映川</x:v>
      </x:c>
      <x:c r="I151" s="15" t="str"/>
      <x:c r="J151" s="15" t="n">
        <x:f>COUNTIF($H$5:$H$229,H151)</x:f>
        <x:v>1</x:v>
      </x:c>
      <x:c r="K151" s="15" t="str">
        <x:f>IF(OR(J151&gt;1,ISNUMBER(SEARCH("兼",I151))),"是","否")</x:f>
        <x:v>否</x:v>
      </x:c>
      <x:c r="L151" s="13" t="str"/>
    </x:row>
    <x:row r="152" ht="15" hidden="0" customHeight="1">
      <x:c r="A152" s="14" t="n">
        <x:v>148</x:v>
      </x:c>
      <x:c r="B152" s="14" t="str">
        <x:v>总裁线</x:v>
      </x:c>
      <x:c r="C152" s="14" t="str">
        <x:v>总裁线</x:v>
      </x:c>
      <x:c r="D152" s="14" t="str">
        <x:v>演艺中心</x:v>
      </x:c>
      <x:c r="E152" s="14" t="str">
        <x:v>表演部</x:v>
      </x:c>
      <x:c r="F152" s="14" t="str"/>
      <x:c r="G152" s="13" t="str">
        <x:v>股东会 &gt; 总裁线 &gt; 演艺中心 &gt; 表演部</x:v>
      </x:c>
      <x:c r="H152" s="15" t="str">
        <x:v>褚允禾</x:v>
      </x:c>
      <x:c r="I152" s="15" t="str"/>
      <x:c r="J152" s="15" t="n">
        <x:f>COUNTIF($H$5:$H$229,H152)</x:f>
        <x:v>1</x:v>
      </x:c>
      <x:c r="K152" s="15" t="str">
        <x:f>IF(OR(J152&gt;1,ISNUMBER(SEARCH("兼",I152))),"是","否")</x:f>
        <x:v>否</x:v>
      </x:c>
      <x:c r="L152" s="13" t="str"/>
    </x:row>
    <x:row r="153" ht="15" hidden="0" customHeight="1">
      <x:c r="A153" s="14" t="n">
        <x:v>149</x:v>
      </x:c>
      <x:c r="B153" s="14" t="str">
        <x:v>总裁线</x:v>
      </x:c>
      <x:c r="C153" s="14" t="str">
        <x:v>总裁线</x:v>
      </x:c>
      <x:c r="D153" s="14" t="str">
        <x:v>演艺中心</x:v>
      </x:c>
      <x:c r="E153" s="14" t="str">
        <x:v>表演部</x:v>
      </x:c>
      <x:c r="F153" s="14" t="str"/>
      <x:c r="G153" s="13" t="str">
        <x:v>股东会 &gt; 总裁线 &gt; 演艺中心 &gt; 表演部</x:v>
      </x:c>
      <x:c r="H153" s="15" t="str">
        <x:v>褚云舟</x:v>
      </x:c>
      <x:c r="I153" s="15" t="str"/>
      <x:c r="J153" s="15" t="n">
        <x:f>COUNTIF($H$5:$H$229,H153)</x:f>
        <x:v>1</x:v>
      </x:c>
      <x:c r="K153" s="15" t="str">
        <x:f>IF(OR(J153&gt;1,ISNUMBER(SEARCH("兼",I153))),"是","否")</x:f>
        <x:v>否</x:v>
      </x:c>
      <x:c r="L153" s="13" t="str"/>
    </x:row>
    <x:row r="154" ht="15" hidden="0" customHeight="1">
      <x:c r="A154" s="14" t="n">
        <x:v>150</x:v>
      </x:c>
      <x:c r="B154" s="14" t="str">
        <x:v>总裁线</x:v>
      </x:c>
      <x:c r="C154" s="14" t="str">
        <x:v>总裁线</x:v>
      </x:c>
      <x:c r="D154" s="14" t="str">
        <x:v>演艺中心</x:v>
      </x:c>
      <x:c r="E154" s="14" t="str">
        <x:v>表演部</x:v>
      </x:c>
      <x:c r="F154" s="14" t="str"/>
      <x:c r="G154" s="13" t="str">
        <x:v>股东会 &gt; 总裁线 &gt; 演艺中心 &gt; 表演部</x:v>
      </x:c>
      <x:c r="H154" s="15" t="str">
        <x:v>褚庭安</x:v>
      </x:c>
      <x:c r="I154" s="15" t="str"/>
      <x:c r="J154" s="15" t="n">
        <x:f>COUNTIF($H$5:$H$229,H154)</x:f>
        <x:v>1</x:v>
      </x:c>
      <x:c r="K154" s="15" t="str">
        <x:f>IF(OR(J154&gt;1,ISNUMBER(SEARCH("兼",I154))),"是","否")</x:f>
        <x:v>否</x:v>
      </x:c>
      <x:c r="L154" s="13" t="str"/>
    </x:row>
    <x:row r="155" ht="15" hidden="0" customHeight="1">
      <x:c r="A155" s="14" t="n">
        <x:v>151</x:v>
      </x:c>
      <x:c r="B155" s="14" t="str">
        <x:v>总裁线</x:v>
      </x:c>
      <x:c r="C155" s="14" t="str">
        <x:v>总裁线</x:v>
      </x:c>
      <x:c r="D155" s="14" t="str">
        <x:v>演艺中心</x:v>
      </x:c>
      <x:c r="E155" s="14" t="str">
        <x:v>表演部</x:v>
      </x:c>
      <x:c r="F155" s="14" t="str"/>
      <x:c r="G155" s="13" t="str">
        <x:v>股东会 &gt; 总裁线 &gt; 演艺中心 &gt; 表演部</x:v>
      </x:c>
      <x:c r="H155" s="15" t="str">
        <x:v>褚亦辰</x:v>
      </x:c>
      <x:c r="I155" s="15" t="str"/>
      <x:c r="J155" s="15" t="n">
        <x:f>COUNTIF($H$5:$H$229,H155)</x:f>
        <x:v>1</x:v>
      </x:c>
      <x:c r="K155" s="15" t="str">
        <x:f>IF(OR(J155&gt;1,ISNUMBER(SEARCH("兼",I155))),"是","否")</x:f>
        <x:v>否</x:v>
      </x:c>
      <x:c r="L155" s="13" t="str"/>
    </x:row>
    <x:row r="156" ht="15" hidden="0" customHeight="1">
      <x:c r="A156" s="14" t="n">
        <x:v>152</x:v>
      </x:c>
      <x:c r="B156" s="14" t="str">
        <x:v>总裁线</x:v>
      </x:c>
      <x:c r="C156" s="14" t="str">
        <x:v>总裁线</x:v>
      </x:c>
      <x:c r="D156" s="14" t="str">
        <x:v>演艺中心</x:v>
      </x:c>
      <x:c r="E156" s="14" t="str">
        <x:v>表演部</x:v>
      </x:c>
      <x:c r="F156" s="14" t="str"/>
      <x:c r="G156" s="13" t="str">
        <x:v>股东会 &gt; 总裁线 &gt; 演艺中心 &gt; 表演部</x:v>
      </x:c>
      <x:c r="H156" s="15" t="str">
        <x:v>褚嘉言</x:v>
      </x:c>
      <x:c r="I156" s="15" t="str"/>
      <x:c r="J156" s="15" t="n">
        <x:f>COUNTIF($H$5:$H$229,H156)</x:f>
        <x:v>1</x:v>
      </x:c>
      <x:c r="K156" s="15" t="str">
        <x:f>IF(OR(J156&gt;1,ISNUMBER(SEARCH("兼",I156))),"是","否")</x:f>
        <x:v>否</x:v>
      </x:c>
      <x:c r="L156" s="13" t="str"/>
    </x:row>
    <x:row r="157" ht="15" hidden="0" customHeight="1">
      <x:c r="A157" s="14" t="n">
        <x:v>153</x:v>
      </x:c>
      <x:c r="B157" s="14" t="str">
        <x:v>总裁线</x:v>
      </x:c>
      <x:c r="C157" s="14" t="str">
        <x:v>总裁线</x:v>
      </x:c>
      <x:c r="D157" s="14" t="str">
        <x:v>演艺中心</x:v>
      </x:c>
      <x:c r="E157" s="14" t="str">
        <x:v>表演部</x:v>
      </x:c>
      <x:c r="F157" s="14" t="str"/>
      <x:c r="G157" s="13" t="str">
        <x:v>股东会 &gt; 总裁线 &gt; 演艺中心 &gt; 表演部</x:v>
      </x:c>
      <x:c r="H157" s="15" t="str">
        <x:v>褚景行</x:v>
      </x:c>
      <x:c r="I157" s="15" t="str"/>
      <x:c r="J157" s="15" t="n">
        <x:f>COUNTIF($H$5:$H$229,H157)</x:f>
        <x:v>1</x:v>
      </x:c>
      <x:c r="K157" s="15" t="str">
        <x:f>IF(OR(J157&gt;1,ISNUMBER(SEARCH("兼",I157))),"是","否")</x:f>
        <x:v>否</x:v>
      </x:c>
      <x:c r="L157" s="13" t="str"/>
    </x:row>
    <x:row r="158" ht="15" hidden="0" customHeight="1">
      <x:c r="A158" s="14" t="n">
        <x:v>154</x:v>
      </x:c>
      <x:c r="B158" s="14" t="str">
        <x:v>总裁线</x:v>
      </x:c>
      <x:c r="C158" s="14" t="str">
        <x:v>总裁线</x:v>
      </x:c>
      <x:c r="D158" s="14" t="str">
        <x:v>演艺中心</x:v>
      </x:c>
      <x:c r="E158" s="14" t="str">
        <x:v>表演部</x:v>
      </x:c>
      <x:c r="F158" s="14" t="str"/>
      <x:c r="G158" s="13" t="str">
        <x:v>股东会 &gt; 总裁线 &gt; 演艺中心 &gt; 表演部</x:v>
      </x:c>
      <x:c r="H158" s="15" t="str">
        <x:v>褚可为</x:v>
      </x:c>
      <x:c r="I158" s="15" t="str"/>
      <x:c r="J158" s="15" t="n">
        <x:f>COUNTIF($H$5:$H$229,H158)</x:f>
        <x:v>1</x:v>
      </x:c>
      <x:c r="K158" s="15" t="str">
        <x:f>IF(OR(J158&gt;1,ISNUMBER(SEARCH("兼",I158))),"是","否")</x:f>
        <x:v>否</x:v>
      </x:c>
      <x:c r="L158" s="13" t="str"/>
    </x:row>
    <x:row r="159" ht="15" hidden="0" customHeight="1">
      <x:c r="A159" s="14" t="n">
        <x:v>155</x:v>
      </x:c>
      <x:c r="B159" s="14" t="str">
        <x:v>总裁线</x:v>
      </x:c>
      <x:c r="C159" s="14" t="str">
        <x:v>总裁线</x:v>
      </x:c>
      <x:c r="D159" s="14" t="str">
        <x:v>演艺中心</x:v>
      </x:c>
      <x:c r="E159" s="14" t="str">
        <x:v>表演部</x:v>
      </x:c>
      <x:c r="F159" s="14" t="str"/>
      <x:c r="G159" s="13" t="str">
        <x:v>股东会 &gt; 总裁线 &gt; 演艺中心 &gt; 表演部</x:v>
      </x:c>
      <x:c r="H159" s="15" t="str">
        <x:v>褚思源</x:v>
      </x:c>
      <x:c r="I159" s="15" t="str"/>
      <x:c r="J159" s="15" t="n">
        <x:f>COUNTIF($H$5:$H$229,H159)</x:f>
        <x:v>1</x:v>
      </x:c>
      <x:c r="K159" s="15" t="str">
        <x:f>IF(OR(J159&gt;1,ISNUMBER(SEARCH("兼",I159))),"是","否")</x:f>
        <x:v>否</x:v>
      </x:c>
      <x:c r="L159" s="13" t="str"/>
    </x:row>
    <x:row r="160" ht="15" hidden="0" customHeight="1">
      <x:c r="A160" s="14" t="n">
        <x:v>156</x:v>
      </x:c>
      <x:c r="B160" s="14" t="str">
        <x:v>总裁线</x:v>
      </x:c>
      <x:c r="C160" s="14" t="str">
        <x:v>总裁线</x:v>
      </x:c>
      <x:c r="D160" s="14" t="str">
        <x:v>演艺中心</x:v>
      </x:c>
      <x:c r="E160" s="14" t="str">
        <x:v>表演部</x:v>
      </x:c>
      <x:c r="F160" s="14" t="str"/>
      <x:c r="G160" s="13" t="str">
        <x:v>股东会 &gt; 总裁线 &gt; 演艺中心 &gt; 表演部</x:v>
      </x:c>
      <x:c r="H160" s="15" t="str">
        <x:v>褚逸凡</x:v>
      </x:c>
      <x:c r="I160" s="15" t="str"/>
      <x:c r="J160" s="15" t="n">
        <x:f>COUNTIF($H$5:$H$229,H160)</x:f>
        <x:v>1</x:v>
      </x:c>
      <x:c r="K160" s="15" t="str">
        <x:f>IF(OR(J160&gt;1,ISNUMBER(SEARCH("兼",I160))),"是","否")</x:f>
        <x:v>否</x:v>
      </x:c>
      <x:c r="L160" s="13" t="str"/>
    </x:row>
    <x:row r="161" ht="15" hidden="0" customHeight="1">
      <x:c r="A161" s="14" t="n">
        <x:v>157</x:v>
      </x:c>
      <x:c r="B161" s="14" t="str">
        <x:v>总裁线</x:v>
      </x:c>
      <x:c r="C161" s="14" t="str">
        <x:v>总裁线</x:v>
      </x:c>
      <x:c r="D161" s="14" t="str">
        <x:v>演艺中心</x:v>
      </x:c>
      <x:c r="E161" s="14" t="str">
        <x:v>表演部</x:v>
      </x:c>
      <x:c r="F161" s="14" t="str"/>
      <x:c r="G161" s="13" t="str">
        <x:v>股东会 &gt; 总裁线 &gt; 演艺中心 &gt; 表演部</x:v>
      </x:c>
      <x:c r="H161" s="15" t="str">
        <x:v>卫安宁</x:v>
      </x:c>
      <x:c r="I161" s="15" t="str"/>
      <x:c r="J161" s="15" t="n">
        <x:f>COUNTIF($H$5:$H$229,H161)</x:f>
        <x:v>1</x:v>
      </x:c>
      <x:c r="K161" s="15" t="str">
        <x:f>IF(OR(J161&gt;1,ISNUMBER(SEARCH("兼",I161))),"是","否")</x:f>
        <x:v>否</x:v>
      </x:c>
      <x:c r="L161" s="13" t="str"/>
    </x:row>
    <x:row r="162" ht="15" hidden="0" customHeight="1">
      <x:c r="A162" s="14" t="n">
        <x:v>158</x:v>
      </x:c>
      <x:c r="B162" s="14" t="str">
        <x:v>总裁线</x:v>
      </x:c>
      <x:c r="C162" s="14" t="str">
        <x:v>总裁线</x:v>
      </x:c>
      <x:c r="D162" s="14" t="str">
        <x:v>演艺中心</x:v>
      </x:c>
      <x:c r="E162" s="14" t="str">
        <x:v>表演部</x:v>
      </x:c>
      <x:c r="F162" s="14" t="str"/>
      <x:c r="G162" s="13" t="str">
        <x:v>股东会 &gt; 总裁线 &gt; 演艺中心 &gt; 表演部</x:v>
      </x:c>
      <x:c r="H162" s="15" t="str">
        <x:v>卫明远</x:v>
      </x:c>
      <x:c r="I162" s="15" t="str"/>
      <x:c r="J162" s="15" t="n">
        <x:f>COUNTIF($H$5:$H$229,H162)</x:f>
        <x:v>1</x:v>
      </x:c>
      <x:c r="K162" s="15" t="str">
        <x:f>IF(OR(J162&gt;1,ISNUMBER(SEARCH("兼",I162))),"是","否")</x:f>
        <x:v>否</x:v>
      </x:c>
      <x:c r="L162" s="13" t="str"/>
    </x:row>
    <x:row r="163" ht="15" hidden="0" customHeight="1">
      <x:c r="A163" s="14" t="n">
        <x:v>159</x:v>
      </x:c>
      <x:c r="B163" s="14" t="str">
        <x:v>总裁线</x:v>
      </x:c>
      <x:c r="C163" s="14" t="str">
        <x:v>总裁线</x:v>
      </x:c>
      <x:c r="D163" s="14" t="str">
        <x:v>演艺中心</x:v>
      </x:c>
      <x:c r="E163" s="14" t="str">
        <x:v>表演部</x:v>
      </x:c>
      <x:c r="F163" s="14" t="str"/>
      <x:c r="G163" s="13" t="str">
        <x:v>股东会 &gt; 总裁线 &gt; 演艺中心 &gt; 表演部</x:v>
      </x:c>
      <x:c r="H163" s="15" t="str">
        <x:v>卫嘉树</x:v>
      </x:c>
      <x:c r="I163" s="15" t="str"/>
      <x:c r="J163" s="15" t="n">
        <x:f>COUNTIF($H$5:$H$229,H163)</x:f>
        <x:v>1</x:v>
      </x:c>
      <x:c r="K163" s="15" t="str">
        <x:f>IF(OR(J163&gt;1,ISNUMBER(SEARCH("兼",I163))),"是","否")</x:f>
        <x:v>否</x:v>
      </x:c>
      <x:c r="L163" s="13" t="str"/>
    </x:row>
    <x:row r="164" ht="15" hidden="0" customHeight="1">
      <x:c r="A164" s="14" t="n">
        <x:v>160</x:v>
      </x:c>
      <x:c r="B164" s="14" t="str">
        <x:v>总裁线</x:v>
      </x:c>
      <x:c r="C164" s="14" t="str">
        <x:v>总裁线</x:v>
      </x:c>
      <x:c r="D164" s="14" t="str">
        <x:v>演艺中心</x:v>
      </x:c>
      <x:c r="E164" s="14" t="str">
        <x:v>表演部</x:v>
      </x:c>
      <x:c r="F164" s="14" t="str"/>
      <x:c r="G164" s="13" t="str">
        <x:v>股东会 &gt; 总裁线 &gt; 演艺中心 &gt; 表演部</x:v>
      </x:c>
      <x:c r="H164" s="15" t="str">
        <x:v>卫予安</x:v>
      </x:c>
      <x:c r="I164" s="15" t="str"/>
      <x:c r="J164" s="15" t="n">
        <x:f>COUNTIF($H$5:$H$229,H164)</x:f>
        <x:v>1</x:v>
      </x:c>
      <x:c r="K164" s="15" t="str">
        <x:f>IF(OR(J164&gt;1,ISNUMBER(SEARCH("兼",I164))),"是","否")</x:f>
        <x:v>否</x:v>
      </x:c>
      <x:c r="L164" s="13" t="str"/>
    </x:row>
    <x:row r="165" ht="15" hidden="0" customHeight="1">
      <x:c r="A165" s="14" t="n">
        <x:v>161</x:v>
      </x:c>
      <x:c r="B165" s="14" t="str">
        <x:v>总裁线</x:v>
      </x:c>
      <x:c r="C165" s="14" t="str">
        <x:v>总裁线</x:v>
      </x:c>
      <x:c r="D165" s="14" t="str">
        <x:v>演艺中心</x:v>
      </x:c>
      <x:c r="E165" s="14" t="str">
        <x:v>表演部</x:v>
      </x:c>
      <x:c r="F165" s="14" t="str"/>
      <x:c r="G165" s="13" t="str">
        <x:v>股东会 &gt; 总裁线 &gt; 演艺中心 &gt; 表演部</x:v>
      </x:c>
      <x:c r="H165" s="15" t="str">
        <x:v>周浩然</x:v>
      </x:c>
      <x:c r="I165" s="15" t="str"/>
      <x:c r="J165" s="15" t="n">
        <x:f>COUNTIF($H$5:$H$229,H165)</x:f>
        <x:v>1</x:v>
      </x:c>
      <x:c r="K165" s="15" t="str">
        <x:f>IF(OR(J165&gt;1,ISNUMBER(SEARCH("兼",I165))),"是","否")</x:f>
        <x:v>否</x:v>
      </x:c>
      <x:c r="L165" s="13" t="str"/>
    </x:row>
    <x:row r="166" ht="15" hidden="0" customHeight="1">
      <x:c r="A166" s="14" t="n">
        <x:v>162</x:v>
      </x:c>
      <x:c r="B166" s="14" t="str">
        <x:v>总裁线</x:v>
      </x:c>
      <x:c r="C166" s="14" t="str">
        <x:v>总裁线</x:v>
      </x:c>
      <x:c r="D166" s="14" t="str">
        <x:v>演艺中心</x:v>
      </x:c>
      <x:c r="E166" s="14" t="str">
        <x:v>表演部</x:v>
      </x:c>
      <x:c r="F166" s="14" t="str"/>
      <x:c r="G166" s="13" t="str">
        <x:v>股东会 &gt; 总裁线 &gt; 演艺中心 &gt; 表演部</x:v>
      </x:c>
      <x:c r="H166" s="15" t="str">
        <x:v>郑庭安</x:v>
      </x:c>
      <x:c r="I166" s="15" t="str"/>
      <x:c r="J166" s="15" t="n">
        <x:f>COUNTIF($H$5:$H$229,H166)</x:f>
        <x:v>1</x:v>
      </x:c>
      <x:c r="K166" s="15" t="str">
        <x:f>IF(OR(J166&gt;1,ISNUMBER(SEARCH("兼",I166))),"是","否")</x:f>
        <x:v>否</x:v>
      </x:c>
      <x:c r="L166" s="13" t="str"/>
    </x:row>
    <x:row r="167" ht="15" hidden="0" customHeight="1">
      <x:c r="A167" s="14" t="n">
        <x:v>163</x:v>
      </x:c>
      <x:c r="B167" s="14" t="str">
        <x:v>总裁线</x:v>
      </x:c>
      <x:c r="C167" s="14" t="str">
        <x:v>总裁线</x:v>
      </x:c>
      <x:c r="D167" s="14" t="str">
        <x:v>演艺中心</x:v>
      </x:c>
      <x:c r="E167" s="14" t="str">
        <x:v>表演部</x:v>
      </x:c>
      <x:c r="F167" s="14" t="str"/>
      <x:c r="G167" s="13" t="str">
        <x:v>股东会 &gt; 总裁线 &gt; 演艺中心 &gt; 表演部</x:v>
      </x:c>
      <x:c r="H167" s="15" t="str">
        <x:v>郑予安</x:v>
      </x:c>
      <x:c r="I167" s="15" t="str"/>
      <x:c r="J167" s="15" t="n">
        <x:f>COUNTIF($H$5:$H$229,H167)</x:f>
        <x:v>1</x:v>
      </x:c>
      <x:c r="K167" s="15" t="str">
        <x:f>IF(OR(J167&gt;1,ISNUMBER(SEARCH("兼",I167))),"是","否")</x:f>
        <x:v>否</x:v>
      </x:c>
      <x:c r="L167" s="13" t="str"/>
    </x:row>
    <x:row r="168" ht="15" hidden="0" customHeight="1">
      <x:c r="A168" s="14" t="n">
        <x:v>164</x:v>
      </x:c>
      <x:c r="B168" s="14" t="str">
        <x:v>总裁线</x:v>
      </x:c>
      <x:c r="C168" s="14" t="str">
        <x:v>总裁线</x:v>
      </x:c>
      <x:c r="D168" s="14" t="str">
        <x:v>演艺中心</x:v>
      </x:c>
      <x:c r="E168" s="14" t="str">
        <x:v>服化道</x:v>
      </x:c>
      <x:c r="F168" s="14" t="str"/>
      <x:c r="G168" s="13" t="str">
        <x:v>股东会 &gt; 总裁线 &gt; 演艺中心 &gt; 服化道</x:v>
      </x:c>
      <x:c r="H168" s="15" t="str">
        <x:v>褚语桐</x:v>
      </x:c>
      <x:c r="I168" s="15" t="str"/>
      <x:c r="J168" s="15" t="n">
        <x:f>COUNTIF($H$5:$H$229,H168)</x:f>
        <x:v>1</x:v>
      </x:c>
      <x:c r="K168" s="15" t="str">
        <x:f>IF(OR(J168&gt;1,ISNUMBER(SEARCH("兼",I168))),"是","否")</x:f>
        <x:v>否</x:v>
      </x:c>
      <x:c r="L168" s="13" t="str"/>
    </x:row>
    <x:row r="169" ht="15" hidden="0" customHeight="1">
      <x:c r="A169" s="14" t="n">
        <x:v>165</x:v>
      </x:c>
      <x:c r="B169" s="14" t="str">
        <x:v>总裁线</x:v>
      </x:c>
      <x:c r="C169" s="14" t="str">
        <x:v>总裁线</x:v>
      </x:c>
      <x:c r="D169" s="14" t="str">
        <x:v>演艺中心</x:v>
      </x:c>
      <x:c r="E169" s="14" t="str">
        <x:v>服化道</x:v>
      </x:c>
      <x:c r="F169" s="14" t="str"/>
      <x:c r="G169" s="13" t="str">
        <x:v>股东会 &gt; 总裁线 &gt; 演艺中心 &gt; 服化道</x:v>
      </x:c>
      <x:c r="H169" s="15" t="str">
        <x:v>周沐辰</x:v>
      </x:c>
      <x:c r="I169" s="15" t="str"/>
      <x:c r="J169" s="15" t="n">
        <x:f>COUNTIF($H$5:$H$229,H169)</x:f>
        <x:v>1</x:v>
      </x:c>
      <x:c r="K169" s="15" t="str">
        <x:f>IF(OR(J169&gt;1,ISNUMBER(SEARCH("兼",I169))),"是","否")</x:f>
        <x:v>否</x:v>
      </x:c>
      <x:c r="L169" s="13" t="str"/>
    </x:row>
    <x:row r="170" ht="15" hidden="0" customHeight="1">
      <x:c r="A170" s="14" t="n">
        <x:v>166</x:v>
      </x:c>
      <x:c r="B170" s="14" t="str">
        <x:v>总裁线</x:v>
      </x:c>
      <x:c r="C170" s="14" t="str">
        <x:v>总裁线</x:v>
      </x:c>
      <x:c r="D170" s="14" t="str">
        <x:v>演艺中心</x:v>
      </x:c>
      <x:c r="E170" s="14" t="str">
        <x:v>无人机飞行部</x:v>
      </x:c>
      <x:c r="F170" s="14" t="str"/>
      <x:c r="G170" s="13" t="str">
        <x:v>股东会 &gt; 总裁线 &gt; 演艺中心 &gt; 无人机飞行部</x:v>
      </x:c>
      <x:c r="H170" s="15" t="str">
        <x:v>周语桐</x:v>
      </x:c>
      <x:c r="I170" s="15" t="str">
        <x:v>经理</x:v>
      </x:c>
      <x:c r="J170" s="15" t="n">
        <x:f>COUNTIF($H$5:$H$229,H170)</x:f>
        <x:v>1</x:v>
      </x:c>
      <x:c r="K170" s="15" t="str">
        <x:f>IF(OR(J170&gt;1,ISNUMBER(SEARCH("兼",I170))),"是","否")</x:f>
        <x:v>否</x:v>
      </x:c>
      <x:c r="L170" s="13" t="str"/>
    </x:row>
    <x:row r="171" ht="15" hidden="0" customHeight="1">
      <x:c r="A171" s="14" t="n">
        <x:v>167</x:v>
      </x:c>
      <x:c r="B171" s="14" t="str">
        <x:v>总裁线</x:v>
      </x:c>
      <x:c r="C171" s="14" t="str">
        <x:v>总裁线</x:v>
      </x:c>
      <x:c r="D171" s="14" t="str">
        <x:v>演艺中心</x:v>
      </x:c>
      <x:c r="E171" s="14" t="str">
        <x:v>无人机飞行部</x:v>
      </x:c>
      <x:c r="F171" s="14" t="str"/>
      <x:c r="G171" s="13" t="str">
        <x:v>股东会 &gt; 总裁线 &gt; 演艺中心 &gt; 无人机飞行部</x:v>
      </x:c>
      <x:c r="H171" s="15" t="str">
        <x:v>郑静川</x:v>
      </x:c>
      <x:c r="I171" s="15" t="str"/>
      <x:c r="J171" s="15" t="n">
        <x:f>COUNTIF($H$5:$H$229,H171)</x:f>
        <x:v>1</x:v>
      </x:c>
      <x:c r="K171" s="15" t="str">
        <x:f>IF(OR(J171&gt;1,ISNUMBER(SEARCH("兼",I171))),"是","否")</x:f>
        <x:v>否</x:v>
      </x:c>
      <x:c r="L171" s="13" t="str"/>
    </x:row>
    <x:row r="172" ht="15" hidden="0" customHeight="1">
      <x:c r="A172" s="14" t="n">
        <x:v>168</x:v>
      </x:c>
      <x:c r="B172" s="14" t="str">
        <x:v>总裁线</x:v>
      </x:c>
      <x:c r="C172" s="14" t="str">
        <x:v>总裁线</x:v>
      </x:c>
      <x:c r="D172" s="14" t="str">
        <x:v>演艺中心</x:v>
      </x:c>
      <x:c r="E172" s="14" t="str">
        <x:v>无人机飞行部</x:v>
      </x:c>
      <x:c r="F172" s="14" t="str"/>
      <x:c r="G172" s="13" t="str">
        <x:v>股东会 &gt; 总裁线 &gt; 演艺中心 &gt; 无人机飞行部</x:v>
      </x:c>
      <x:c r="H172" s="15" t="str">
        <x:v>周予晴</x:v>
      </x:c>
      <x:c r="I172" s="15" t="str"/>
      <x:c r="J172" s="15" t="n">
        <x:f>COUNTIF($H$5:$H$229,H172)</x:f>
        <x:v>1</x:v>
      </x:c>
      <x:c r="K172" s="15" t="str">
        <x:f>IF(OR(J172&gt;1,ISNUMBER(SEARCH("兼",I172))),"是","否")</x:f>
        <x:v>否</x:v>
      </x:c>
      <x:c r="L172" s="13" t="str"/>
    </x:row>
    <x:row r="173" ht="15" hidden="0" customHeight="1">
      <x:c r="A173" s="14" t="n">
        <x:v>169</x:v>
      </x:c>
      <x:c r="B173" s="14" t="str">
        <x:v>总裁线</x:v>
      </x:c>
      <x:c r="C173" s="14" t="str">
        <x:v>总裁线</x:v>
      </x:c>
      <x:c r="D173" s="14" t="str">
        <x:v>演艺中心</x:v>
      </x:c>
      <x:c r="E173" s="14" t="str">
        <x:v>演艺技术部</x:v>
      </x:c>
      <x:c r="F173" s="14" t="str"/>
      <x:c r="G173" s="13" t="str">
        <x:v>股东会 &gt; 总裁线 &gt; 演艺中心 &gt; 演艺技术部</x:v>
      </x:c>
      <x:c r="H173" s="15" t="str">
        <x:v>周予安</x:v>
      </x:c>
      <x:c r="I173" s="15" t="str">
        <x:v>经理</x:v>
      </x:c>
      <x:c r="J173" s="15" t="n">
        <x:f>COUNTIF($H$5:$H$229,H173)</x:f>
        <x:v>1</x:v>
      </x:c>
      <x:c r="K173" s="15" t="str">
        <x:f>IF(OR(J173&gt;1,ISNUMBER(SEARCH("兼",I173))),"是","否")</x:f>
        <x:v>否</x:v>
      </x:c>
      <x:c r="L173" s="13" t="str"/>
    </x:row>
    <x:row r="174" ht="15" hidden="0" customHeight="1">
      <x:c r="A174" s="14" t="n">
        <x:v>170</x:v>
      </x:c>
      <x:c r="B174" s="14" t="str">
        <x:v>总裁线</x:v>
      </x:c>
      <x:c r="C174" s="14" t="str">
        <x:v>总裁线</x:v>
      </x:c>
      <x:c r="D174" s="14" t="str">
        <x:v>演艺中心</x:v>
      </x:c>
      <x:c r="E174" s="14" t="str">
        <x:v>演艺技术部</x:v>
      </x:c>
      <x:c r="F174" s="14" t="str"/>
      <x:c r="G174" s="13" t="str">
        <x:v>股东会 &gt; 总裁线 &gt; 演艺中心 &gt; 演艺技术部</x:v>
      </x:c>
      <x:c r="H174" s="15" t="str">
        <x:v>孙庭安</x:v>
      </x:c>
      <x:c r="I174" s="15" t="str"/>
      <x:c r="J174" s="15" t="n">
        <x:f>COUNTIF($H$5:$H$229,H174)</x:f>
        <x:v>1</x:v>
      </x:c>
      <x:c r="K174" s="15" t="str">
        <x:f>IF(OR(J174&gt;1,ISNUMBER(SEARCH("兼",I174))),"是","否")</x:f>
        <x:v>否</x:v>
      </x:c>
      <x:c r="L174" s="13" t="str"/>
    </x:row>
    <x:row r="175" ht="15" hidden="0" customHeight="1">
      <x:c r="A175" s="14" t="n">
        <x:v>171</x:v>
      </x:c>
      <x:c r="B175" s="14" t="str">
        <x:v>总裁线</x:v>
      </x:c>
      <x:c r="C175" s="14" t="str">
        <x:v>总裁线</x:v>
      </x:c>
      <x:c r="D175" s="14" t="str">
        <x:v>演艺中心</x:v>
      </x:c>
      <x:c r="E175" s="14" t="str">
        <x:v>演艺技术部</x:v>
      </x:c>
      <x:c r="F175" s="14" t="str"/>
      <x:c r="G175" s="13" t="str">
        <x:v>股东会 &gt; 总裁线 &gt; 演艺中心 &gt; 演艺技术部</x:v>
      </x:c>
      <x:c r="H175" s="15" t="str">
        <x:v>褚子谦</x:v>
      </x:c>
      <x:c r="I175" s="15" t="str"/>
      <x:c r="J175" s="15" t="n">
        <x:f>COUNTIF($H$5:$H$229,H175)</x:f>
        <x:v>1</x:v>
      </x:c>
      <x:c r="K175" s="15" t="str">
        <x:f>IF(OR(J175&gt;1,ISNUMBER(SEARCH("兼",I175))),"是","否")</x:f>
        <x:v>否</x:v>
      </x:c>
      <x:c r="L175" s="13" t="str"/>
    </x:row>
    <x:row r="176" ht="15" hidden="0" customHeight="1">
      <x:c r="A176" s="14" t="n">
        <x:v>172</x:v>
      </x:c>
      <x:c r="B176" s="14" t="str">
        <x:v>总裁线</x:v>
      </x:c>
      <x:c r="C176" s="14" t="str">
        <x:v>总裁线</x:v>
      </x:c>
      <x:c r="D176" s="14" t="str">
        <x:v>演艺中心</x:v>
      </x:c>
      <x:c r="E176" s="14" t="str">
        <x:v>演艺技术部</x:v>
      </x:c>
      <x:c r="F176" s="14" t="str"/>
      <x:c r="G176" s="13" t="str">
        <x:v>股东会 &gt; 总裁线 &gt; 演艺中心 &gt; 演艺技术部</x:v>
      </x:c>
      <x:c r="H176" s="15" t="str">
        <x:v>褚希文</x:v>
      </x:c>
      <x:c r="I176" s="15" t="str"/>
      <x:c r="J176" s="15" t="n">
        <x:f>COUNTIF($H$5:$H$229,H176)</x:f>
        <x:v>1</x:v>
      </x:c>
      <x:c r="K176" s="15" t="str">
        <x:f>IF(OR(J176&gt;1,ISNUMBER(SEARCH("兼",I176))),"是","否")</x:f>
        <x:v>否</x:v>
      </x:c>
      <x:c r="L176" s="13" t="str"/>
    </x:row>
    <x:row r="177" ht="15" hidden="0" customHeight="1">
      <x:c r="A177" s="14" t="n">
        <x:v>173</x:v>
      </x:c>
      <x:c r="B177" s="14" t="str">
        <x:v>总裁线</x:v>
      </x:c>
      <x:c r="C177" s="14" t="str">
        <x:v>总裁线</x:v>
      </x:c>
      <x:c r="D177" s="14" t="str">
        <x:v>演艺中心</x:v>
      </x:c>
      <x:c r="E177" s="14" t="str">
        <x:v>演艺技术部</x:v>
      </x:c>
      <x:c r="F177" s="14" t="str"/>
      <x:c r="G177" s="13" t="str">
        <x:v>股东会 &gt; 总裁线 &gt; 演艺中心 &gt; 演艺技术部</x:v>
      </x:c>
      <x:c r="H177" s="15" t="str">
        <x:v>孙乐川</x:v>
      </x:c>
      <x:c r="I177" s="15" t="str"/>
      <x:c r="J177" s="15" t="n">
        <x:f>COUNTIF($H$5:$H$229,H177)</x:f>
        <x:v>1</x:v>
      </x:c>
      <x:c r="K177" s="15" t="str">
        <x:f>IF(OR(J177&gt;1,ISNUMBER(SEARCH("兼",I177))),"是","否")</x:f>
        <x:v>否</x:v>
      </x:c>
      <x:c r="L177" s="13" t="str"/>
    </x:row>
    <x:row r="178" ht="15" hidden="0" customHeight="1">
      <x:c r="A178" s="14" t="n">
        <x:v>174</x:v>
      </x:c>
      <x:c r="B178" s="14" t="str">
        <x:v>总裁线</x:v>
      </x:c>
      <x:c r="C178" s="14" t="str">
        <x:v>总裁线</x:v>
      </x:c>
      <x:c r="D178" s="14" t="str">
        <x:v>演艺中心</x:v>
      </x:c>
      <x:c r="E178" s="14" t="str">
        <x:v>演艺技术部</x:v>
      </x:c>
      <x:c r="F178" s="14" t="str"/>
      <x:c r="G178" s="13" t="str">
        <x:v>股东会 &gt; 总裁线 &gt; 演艺中心 &gt; 演艺技术部</x:v>
      </x:c>
      <x:c r="H178" s="15" t="str">
        <x:v>周书航</x:v>
      </x:c>
      <x:c r="I178" s="15" t="str"/>
      <x:c r="J178" s="15" t="n">
        <x:f>COUNTIF($H$5:$H$229,H178)</x:f>
        <x:v>1</x:v>
      </x:c>
      <x:c r="K178" s="15" t="str">
        <x:f>IF(OR(J178&gt;1,ISNUMBER(SEARCH("兼",I178))),"是","否")</x:f>
        <x:v>否</x:v>
      </x:c>
      <x:c r="L178" s="13" t="str"/>
    </x:row>
    <x:row r="179" ht="15" hidden="0" customHeight="1">
      <x:c r="A179" s="14" t="n">
        <x:v>175</x:v>
      </x:c>
      <x:c r="B179" s="14" t="str">
        <x:v>总裁线</x:v>
      </x:c>
      <x:c r="C179" s="14" t="str">
        <x:v>总裁线</x:v>
      </x:c>
      <x:c r="D179" s="14" t="str">
        <x:v>演艺中心</x:v>
      </x:c>
      <x:c r="E179" s="14" t="str">
        <x:v>演艺技术部</x:v>
      </x:c>
      <x:c r="F179" s="14" t="str"/>
      <x:c r="G179" s="13" t="str">
        <x:v>股东会 &gt; 总裁线 &gt; 演艺中心 &gt; 演艺技术部</x:v>
      </x:c>
      <x:c r="H179" s="15" t="str">
        <x:v>孙景和</x:v>
      </x:c>
      <x:c r="I179" s="15" t="str"/>
      <x:c r="J179" s="15" t="n">
        <x:f>COUNTIF($H$5:$H$229,H179)</x:f>
        <x:v>1</x:v>
      </x:c>
      <x:c r="K179" s="15" t="str">
        <x:f>IF(OR(J179&gt;1,ISNUMBER(SEARCH("兼",I179))),"是","否")</x:f>
        <x:v>否</x:v>
      </x:c>
      <x:c r="L179" s="13" t="str"/>
    </x:row>
    <x:row r="180" ht="15" hidden="0" customHeight="1">
      <x:c r="A180" s="14" t="n">
        <x:v>176</x:v>
      </x:c>
      <x:c r="B180" s="14" t="str">
        <x:v>总裁线</x:v>
      </x:c>
      <x:c r="C180" s="14" t="str">
        <x:v>总裁线</x:v>
      </x:c>
      <x:c r="D180" s="14" t="str">
        <x:v>演艺中心</x:v>
      </x:c>
      <x:c r="E180" s="14" t="str">
        <x:v>演艺技术部</x:v>
      </x:c>
      <x:c r="F180" s="14" t="str"/>
      <x:c r="G180" s="13" t="str">
        <x:v>股东会 &gt; 总裁线 &gt; 演艺中心 &gt; 演艺技术部</x:v>
      </x:c>
      <x:c r="H180" s="15" t="str">
        <x:v>褚清越</x:v>
      </x:c>
      <x:c r="I180" s="15" t="str"/>
      <x:c r="J180" s="15" t="n">
        <x:f>COUNTIF($H$5:$H$229,H180)</x:f>
        <x:v>1</x:v>
      </x:c>
      <x:c r="K180" s="15" t="str">
        <x:f>IF(OR(J180&gt;1,ISNUMBER(SEARCH("兼",I180))),"是","否")</x:f>
        <x:v>否</x:v>
      </x:c>
      <x:c r="L180" s="13" t="str"/>
    </x:row>
    <x:row r="181" ht="15" hidden="0" customHeight="1">
      <x:c r="A181" s="14" t="n">
        <x:v>177</x:v>
      </x:c>
      <x:c r="B181" s="14" t="str">
        <x:v>总裁线</x:v>
      </x:c>
      <x:c r="C181" s="14" t="str">
        <x:v>总裁线</x:v>
      </x:c>
      <x:c r="D181" s="14" t="str">
        <x:v>演艺中心</x:v>
      </x:c>
      <x:c r="E181" s="14" t="str">
        <x:v>演艺技术部</x:v>
      </x:c>
      <x:c r="F181" s="14" t="str"/>
      <x:c r="G181" s="13" t="str">
        <x:v>股东会 &gt; 总裁线 &gt; 演艺中心 &gt; 演艺技术部</x:v>
      </x:c>
      <x:c r="H181" s="15" t="str">
        <x:v>周嘉树</x:v>
      </x:c>
      <x:c r="I181" s="15" t="str"/>
      <x:c r="J181" s="15" t="n">
        <x:f>COUNTIF($H$5:$H$229,H181)</x:f>
        <x:v>1</x:v>
      </x:c>
      <x:c r="K181" s="15" t="str">
        <x:f>IF(OR(J181&gt;1,ISNUMBER(SEARCH("兼",I181))),"是","否")</x:f>
        <x:v>否</x:v>
      </x:c>
      <x:c r="L181" s="13" t="str"/>
    </x:row>
    <x:row r="182" ht="15" hidden="0" customHeight="1">
      <x:c r="A182" s="14" t="n">
        <x:v>178</x:v>
      </x:c>
      <x:c r="B182" s="14" t="str">
        <x:v>总裁线</x:v>
      </x:c>
      <x:c r="C182" s="14" t="str">
        <x:v>总裁线</x:v>
      </x:c>
      <x:c r="D182" s="14" t="str">
        <x:v>演艺中心</x:v>
      </x:c>
      <x:c r="E182" s="14" t="str">
        <x:v>演艺技术部</x:v>
      </x:c>
      <x:c r="F182" s="14" t="str"/>
      <x:c r="G182" s="13" t="str">
        <x:v>股东会 &gt; 总裁线 &gt; 演艺中心 &gt; 演艺技术部</x:v>
      </x:c>
      <x:c r="H182" s="15" t="str">
        <x:v>郑浩然</x:v>
      </x:c>
      <x:c r="I182" s="15" t="str"/>
      <x:c r="J182" s="15" t="n">
        <x:f>COUNTIF($H$5:$H$229,H182)</x:f>
        <x:v>1</x:v>
      </x:c>
      <x:c r="K182" s="15" t="str">
        <x:f>IF(OR(J182&gt;1,ISNUMBER(SEARCH("兼",I182))),"是","否")</x:f>
        <x:v>否</x:v>
      </x:c>
      <x:c r="L182" s="13" t="str"/>
    </x:row>
    <x:row r="183" ht="15" hidden="0" customHeight="1">
      <x:c r="A183" s="14" t="n">
        <x:v>179</x:v>
      </x:c>
      <x:c r="B183" s="14" t="str">
        <x:v>总裁线</x:v>
      </x:c>
      <x:c r="C183" s="14" t="str">
        <x:v>总裁线</x:v>
      </x:c>
      <x:c r="D183" s="14" t="str">
        <x:v>网络中心</x:v>
      </x:c>
      <x:c r="E183" s="14" t="str">
        <x:v>中心管理</x:v>
      </x:c>
      <x:c r="F183" s="14" t="str"/>
      <x:c r="G183" s="13" t="str">
        <x:v>股东会 &gt; 总裁线 &gt; 网络中心 &gt; 中心管理</x:v>
      </x:c>
      <x:c r="H183" s="15" t="str">
        <x:v>钱浩然</x:v>
      </x:c>
      <x:c r="I183" s="15" t="str">
        <x:v>副总经理</x:v>
      </x:c>
      <x:c r="J183" s="15" t="n">
        <x:f>COUNTIF($H$5:$H$229,H183)</x:f>
        <x:v>1</x:v>
      </x:c>
      <x:c r="K183" s="15" t="str">
        <x:f>IF(OR(J183&gt;1,ISNUMBER(SEARCH("兼",I183))),"是","否")</x:f>
        <x:v>否</x:v>
      </x:c>
      <x:c r="L183" s="13" t="str"/>
    </x:row>
    <x:row r="184" ht="15" hidden="0" customHeight="1">
      <x:c r="A184" s="14" t="n">
        <x:v>180</x:v>
      </x:c>
      <x:c r="B184" s="14" t="str">
        <x:v>总裁线</x:v>
      </x:c>
      <x:c r="C184" s="14" t="str">
        <x:v>总裁线</x:v>
      </x:c>
      <x:c r="D184" s="14" t="str">
        <x:v>网络中心</x:v>
      </x:c>
      <x:c r="E184" s="14" t="str">
        <x:v>网络技术部</x:v>
      </x:c>
      <x:c r="F184" s="14" t="str"/>
      <x:c r="G184" s="13" t="str">
        <x:v>股东会 &gt; 总裁线 &gt; 网络中心 &gt; 网络技术部</x:v>
      </x:c>
      <x:c r="H184" s="15" t="str">
        <x:v>钱希文</x:v>
      </x:c>
      <x:c r="I184" s="15" t="str"/>
      <x:c r="J184" s="15" t="n">
        <x:f>COUNTIF($H$5:$H$229,H184)</x:f>
        <x:v>1</x:v>
      </x:c>
      <x:c r="K184" s="15" t="str">
        <x:f>IF(OR(J184&gt;1,ISNUMBER(SEARCH("兼",I184))),"是","否")</x:f>
        <x:v>否</x:v>
      </x:c>
      <x:c r="L184" s="13" t="str"/>
    </x:row>
    <x:row r="185" ht="15" hidden="0" customHeight="1">
      <x:c r="A185" s="14" t="n">
        <x:v>181</x:v>
      </x:c>
      <x:c r="B185" s="14" t="str">
        <x:v>总裁线</x:v>
      </x:c>
      <x:c r="C185" s="14" t="str">
        <x:v>总裁线</x:v>
      </x:c>
      <x:c r="D185" s="14" t="str">
        <x:v>网络中心</x:v>
      </x:c>
      <x:c r="E185" s="14" t="str">
        <x:v>网络技术部</x:v>
      </x:c>
      <x:c r="F185" s="14" t="str"/>
      <x:c r="G185" s="13" t="str">
        <x:v>股东会 &gt; 总裁线 &gt; 网络中心 &gt; 网络技术部</x:v>
      </x:c>
      <x:c r="H185" s="15" t="str">
        <x:v>褚予安</x:v>
      </x:c>
      <x:c r="I185" s="15" t="str"/>
      <x:c r="J185" s="15" t="n">
        <x:f>COUNTIF($H$5:$H$229,H185)</x:f>
        <x:v>1</x:v>
      </x:c>
      <x:c r="K185" s="15" t="str">
        <x:f>IF(OR(J185&gt;1,ISNUMBER(SEARCH("兼",I185))),"是","否")</x:f>
        <x:v>否</x:v>
      </x:c>
      <x:c r="L185" s="13" t="str"/>
    </x:row>
    <x:row r="186" ht="15" hidden="0" customHeight="1">
      <x:c r="A186" s="14" t="n">
        <x:v>182</x:v>
      </x:c>
      <x:c r="B186" s="14" t="str">
        <x:v>总裁线</x:v>
      </x:c>
      <x:c r="C186" s="14" t="str">
        <x:v>总裁线</x:v>
      </x:c>
      <x:c r="D186" s="14" t="str">
        <x:v>网络中心</x:v>
      </x:c>
      <x:c r="E186" s="14" t="str">
        <x:v>网络技术部</x:v>
      </x:c>
      <x:c r="F186" s="14" t="str"/>
      <x:c r="G186" s="13" t="str">
        <x:v>股东会 &gt; 总裁线 &gt; 网络中心 &gt; 网络技术部</x:v>
      </x:c>
      <x:c r="H186" s="15" t="str">
        <x:v>孙语桐</x:v>
      </x:c>
      <x:c r="I186" s="15" t="str"/>
      <x:c r="J186" s="15" t="n">
        <x:f>COUNTIF($H$5:$H$229,H186)</x:f>
        <x:v>1</x:v>
      </x:c>
      <x:c r="K186" s="15" t="str">
        <x:f>IF(OR(J186&gt;1,ISNUMBER(SEARCH("兼",I186))),"是","否")</x:f>
        <x:v>否</x:v>
      </x:c>
      <x:c r="L186" s="13" t="str"/>
    </x:row>
    <x:row r="187" ht="15" hidden="0" customHeight="1">
      <x:c r="A187" s="14" t="n">
        <x:v>183</x:v>
      </x:c>
      <x:c r="B187" s="14" t="str">
        <x:v>总裁线</x:v>
      </x:c>
      <x:c r="C187" s="14" t="str">
        <x:v>总裁线</x:v>
      </x:c>
      <x:c r="D187" s="14" t="str">
        <x:v>网络中心</x:v>
      </x:c>
      <x:c r="E187" s="14" t="str">
        <x:v>网络技术部</x:v>
      </x:c>
      <x:c r="F187" s="14" t="str"/>
      <x:c r="G187" s="13" t="str">
        <x:v>股东会 &gt; 总裁线 &gt; 网络中心 &gt; 网络技术部</x:v>
      </x:c>
      <x:c r="H187" s="15" t="str">
        <x:v>赵静川</x:v>
      </x:c>
      <x:c r="I187" s="15" t="str"/>
      <x:c r="J187" s="15" t="n">
        <x:f>COUNTIF($H$5:$H$229,H187)</x:f>
        <x:v>1</x:v>
      </x:c>
      <x:c r="K187" s="15" t="str">
        <x:f>IF(OR(J187&gt;1,ISNUMBER(SEARCH("兼",I187))),"是","否")</x:f>
        <x:v>否</x:v>
      </x:c>
      <x:c r="L187" s="13" t="str"/>
    </x:row>
    <x:row r="188" ht="15" hidden="0" customHeight="1">
      <x:c r="A188" s="14" t="n">
        <x:v>184</x:v>
      </x:c>
      <x:c r="B188" s="14" t="str">
        <x:v>总裁线</x:v>
      </x:c>
      <x:c r="C188" s="14" t="str">
        <x:v>总裁线</x:v>
      </x:c>
      <x:c r="D188" s="14" t="str">
        <x:v>网络中心</x:v>
      </x:c>
      <x:c r="E188" s="14" t="str">
        <x:v>系统维护部</x:v>
      </x:c>
      <x:c r="F188" s="14" t="str"/>
      <x:c r="G188" s="13" t="str">
        <x:v>股东会 &gt; 总裁线 &gt; 网络中心 &gt; 系统维护部</x:v>
      </x:c>
      <x:c r="H188" s="15" t="str">
        <x:v>钱庭安</x:v>
      </x:c>
      <x:c r="I188" s="15" t="str">
        <x:v>经理</x:v>
      </x:c>
      <x:c r="J188" s="15" t="n">
        <x:f>COUNTIF($H$5:$H$229,H188)</x:f>
        <x:v>1</x:v>
      </x:c>
      <x:c r="K188" s="15" t="str">
        <x:f>IF(OR(J188&gt;1,ISNUMBER(SEARCH("兼",I188))),"是","否")</x:f>
        <x:v>否</x:v>
      </x:c>
      <x:c r="L188" s="13" t="str"/>
    </x:row>
    <x:row r="189" ht="15" hidden="0" customHeight="1">
      <x:c r="A189" s="14" t="n">
        <x:v>185</x:v>
      </x:c>
      <x:c r="B189" s="14" t="str">
        <x:v>总裁线</x:v>
      </x:c>
      <x:c r="C189" s="14" t="str">
        <x:v>总裁线</x:v>
      </x:c>
      <x:c r="D189" s="14" t="str">
        <x:v>网络中心</x:v>
      </x:c>
      <x:c r="E189" s="14" t="str">
        <x:v>系统维护部</x:v>
      </x:c>
      <x:c r="F189" s="14" t="str"/>
      <x:c r="G189" s="13" t="str">
        <x:v>股东会 &gt; 总裁线 &gt; 网络中心 &gt; 系统维护部</x:v>
      </x:c>
      <x:c r="H189" s="15" t="str">
        <x:v>孙星川</x:v>
      </x:c>
      <x:c r="I189" s="15" t="str"/>
      <x:c r="J189" s="15" t="n">
        <x:f>COUNTIF($H$5:$H$229,H189)</x:f>
        <x:v>1</x:v>
      </x:c>
      <x:c r="K189" s="15" t="str">
        <x:f>IF(OR(J189&gt;1,ISNUMBER(SEARCH("兼",I189))),"是","否")</x:f>
        <x:v>否</x:v>
      </x:c>
      <x:c r="L189" s="13" t="str"/>
    </x:row>
    <x:row r="190" ht="15" hidden="0" customHeight="1">
      <x:c r="A190" s="14" t="n">
        <x:v>186</x:v>
      </x:c>
      <x:c r="B190" s="14" t="str">
        <x:v>总裁线</x:v>
      </x:c>
      <x:c r="C190" s="14" t="str">
        <x:v>总裁线</x:v>
      </x:c>
      <x:c r="D190" s="14" t="str">
        <x:v>网络中心</x:v>
      </x:c>
      <x:c r="E190" s="14" t="str">
        <x:v>研发部</x:v>
      </x:c>
      <x:c r="F190" s="14" t="str"/>
      <x:c r="G190" s="13" t="str">
        <x:v>股东会 &gt; 总裁线 &gt; 网络中心 &gt; 研发部</x:v>
      </x:c>
      <x:c r="H190" s="15" t="str">
        <x:v>钱静川</x:v>
      </x:c>
      <x:c r="I190" s="15" t="str">
        <x:v>经理</x:v>
      </x:c>
      <x:c r="J190" s="15" t="n">
        <x:f>COUNTIF($H$5:$H$229,H190)</x:f>
        <x:v>1</x:v>
      </x:c>
      <x:c r="K190" s="15" t="str">
        <x:f>IF(OR(J190&gt;1,ISNUMBER(SEARCH("兼",I190))),"是","否")</x:f>
        <x:v>否</x:v>
      </x:c>
      <x:c r="L190" s="13" t="str"/>
    </x:row>
    <x:row r="191" ht="15" hidden="0" customHeight="1">
      <x:c r="A191" s="14" t="n">
        <x:v>187</x:v>
      </x:c>
      <x:c r="B191" s="14" t="str">
        <x:v>总裁线</x:v>
      </x:c>
      <x:c r="C191" s="14" t="str">
        <x:v>总裁线</x:v>
      </x:c>
      <x:c r="D191" s="14" t="str">
        <x:v>企划中心</x:v>
      </x:c>
      <x:c r="E191" s="14" t="str">
        <x:v>中心管理</x:v>
      </x:c>
      <x:c r="F191" s="14" t="str"/>
      <x:c r="G191" s="13" t="str">
        <x:v>股东会 &gt; 总裁线 &gt; 企划中心 &gt; 中心管理</x:v>
      </x:c>
      <x:c r="H191" s="15" t="str">
        <x:v>赵希文</x:v>
      </x:c>
      <x:c r="I191" s="15" t="str">
        <x:v>总经理</x:v>
      </x:c>
      <x:c r="J191" s="15" t="n">
        <x:f>COUNTIF($H$5:$H$229,H191)</x:f>
        <x:v>3</x:v>
      </x:c>
      <x:c r="K191" s="15" t="str">
        <x:f>IF(OR(J191&gt;1,ISNUMBER(SEARCH("兼",I191))),"是","否")</x:f>
        <x:v>是</x:v>
      </x:c>
      <x:c r="L191" s="13" t="str"/>
    </x:row>
    <x:row r="192" ht="15" hidden="0" customHeight="1">
      <x:c r="A192" s="14" t="n">
        <x:v>188</x:v>
      </x:c>
      <x:c r="B192" s="14" t="str">
        <x:v>总裁线</x:v>
      </x:c>
      <x:c r="C192" s="14" t="str">
        <x:v>总裁线</x:v>
      </x:c>
      <x:c r="D192" s="14" t="str">
        <x:v>企划中心</x:v>
      </x:c>
      <x:c r="E192" s="14" t="str">
        <x:v>中心管理</x:v>
      </x:c>
      <x:c r="F192" s="14" t="str"/>
      <x:c r="G192" s="13" t="str">
        <x:v>股东会 &gt; 总裁线 &gt; 企划中心 &gt; 中心管理</x:v>
      </x:c>
      <x:c r="H192" s="15" t="str">
        <x:v>孙清越</x:v>
      </x:c>
      <x:c r="I192" s="15" t="str">
        <x:v>副总经理</x:v>
      </x:c>
      <x:c r="J192" s="15" t="n">
        <x:f>COUNTIF($H$5:$H$229,H192)</x:f>
        <x:v>1</x:v>
      </x:c>
      <x:c r="K192" s="15" t="str">
        <x:f>IF(OR(J192&gt;1,ISNUMBER(SEARCH("兼",I192))),"是","否")</x:f>
        <x:v>否</x:v>
      </x:c>
      <x:c r="L192" s="13" t="str"/>
    </x:row>
    <x:row r="193" ht="15" hidden="0" customHeight="1">
      <x:c r="A193" s="14" t="n">
        <x:v>189</x:v>
      </x:c>
      <x:c r="B193" s="14" t="str">
        <x:v>总裁线</x:v>
      </x:c>
      <x:c r="C193" s="14" t="str">
        <x:v>总裁线</x:v>
      </x:c>
      <x:c r="D193" s="14" t="str">
        <x:v>企划中心</x:v>
      </x:c>
      <x:c r="E193" s="14" t="str">
        <x:v>企宣部</x:v>
      </x:c>
      <x:c r="F193" s="14" t="str"/>
      <x:c r="G193" s="13" t="str">
        <x:v>股东会 &gt; 总裁线 &gt; 企划中心 &gt; 企宣部</x:v>
      </x:c>
      <x:c r="H193" s="15" t="str">
        <x:v>钱知远</x:v>
      </x:c>
      <x:c r="I193" s="15" t="str"/>
      <x:c r="J193" s="15" t="n">
        <x:f>COUNTIF($H$5:$H$229,H193)</x:f>
        <x:v>1</x:v>
      </x:c>
      <x:c r="K193" s="15" t="str">
        <x:f>IF(OR(J193&gt;1,ISNUMBER(SEARCH("兼",I193))),"是","否")</x:f>
        <x:v>否</x:v>
      </x:c>
      <x:c r="L193" s="13" t="str"/>
    </x:row>
    <x:row r="194" ht="15" hidden="0" customHeight="1">
      <x:c r="A194" s="14" t="n">
        <x:v>190</x:v>
      </x:c>
      <x:c r="B194" s="14" t="str">
        <x:v>总裁线</x:v>
      </x:c>
      <x:c r="C194" s="14" t="str">
        <x:v>总裁线</x:v>
      </x:c>
      <x:c r="D194" s="14" t="str">
        <x:v>企划中心</x:v>
      </x:c>
      <x:c r="E194" s="14" t="str">
        <x:v>企宣部</x:v>
      </x:c>
      <x:c r="F194" s="14" t="str"/>
      <x:c r="G194" s="13" t="str">
        <x:v>股东会 &gt; 总裁线 &gt; 企划中心 &gt; 企宣部</x:v>
      </x:c>
      <x:c r="H194" s="15" t="str">
        <x:v>周静川</x:v>
      </x:c>
      <x:c r="I194" s="15" t="str"/>
      <x:c r="J194" s="15" t="n">
        <x:f>COUNTIF($H$5:$H$229,H194)</x:f>
        <x:v>1</x:v>
      </x:c>
      <x:c r="K194" s="15" t="str">
        <x:f>IF(OR(J194&gt;1,ISNUMBER(SEARCH("兼",I194))),"是","否")</x:f>
        <x:v>否</x:v>
      </x:c>
      <x:c r="L194" s="13" t="str"/>
    </x:row>
    <x:row r="195" ht="15" hidden="0" customHeight="1">
      <x:c r="A195" s="14" t="n">
        <x:v>191</x:v>
      </x:c>
      <x:c r="B195" s="14" t="str">
        <x:v>总裁线</x:v>
      </x:c>
      <x:c r="C195" s="14" t="str">
        <x:v>总裁线</x:v>
      </x:c>
      <x:c r="D195" s="14" t="str">
        <x:v>企划中心</x:v>
      </x:c>
      <x:c r="E195" s="14" t="str">
        <x:v>企宣部</x:v>
      </x:c>
      <x:c r="F195" s="14" t="str"/>
      <x:c r="G195" s="13" t="str">
        <x:v>股东会 &gt; 总裁线 &gt; 企划中心 &gt; 企宣部</x:v>
      </x:c>
      <x:c r="H195" s="15" t="str">
        <x:v>郑子谦</x:v>
      </x:c>
      <x:c r="I195" s="15" t="str"/>
      <x:c r="J195" s="15" t="n">
        <x:f>COUNTIF($H$5:$H$229,H195)</x:f>
        <x:v>1</x:v>
      </x:c>
      <x:c r="K195" s="15" t="str">
        <x:f>IF(OR(J195&gt;1,ISNUMBER(SEARCH("兼",I195))),"是","否")</x:f>
        <x:v>否</x:v>
      </x:c>
      <x:c r="L195" s="13" t="str"/>
    </x:row>
    <x:row r="196" ht="15" hidden="0" customHeight="1">
      <x:c r="A196" s="14" t="n">
        <x:v>192</x:v>
      </x:c>
      <x:c r="B196" s="14" t="str">
        <x:v>总裁线</x:v>
      </x:c>
      <x:c r="C196" s="14" t="str">
        <x:v>总裁线</x:v>
      </x:c>
      <x:c r="D196" s="14" t="str">
        <x:v>企划中心</x:v>
      </x:c>
      <x:c r="E196" s="14" t="str">
        <x:v>策划部</x:v>
      </x:c>
      <x:c r="F196" s="14" t="str"/>
      <x:c r="G196" s="13" t="str">
        <x:v>股东会 &gt; 总裁线 &gt; 企划中心 &gt; 策划部</x:v>
      </x:c>
      <x:c r="H196" s="15" t="str">
        <x:v>卫景和</x:v>
      </x:c>
      <x:c r="I196" s="15" t="str"/>
      <x:c r="J196" s="15" t="n">
        <x:f>COUNTIF($H$5:$H$229,H196)</x:f>
        <x:v>1</x:v>
      </x:c>
      <x:c r="K196" s="15" t="str">
        <x:f>IF(OR(J196&gt;1,ISNUMBER(SEARCH("兼",I196))),"是","否")</x:f>
        <x:v>否</x:v>
      </x:c>
      <x:c r="L196" s="13" t="str"/>
    </x:row>
    <x:row r="197" ht="15" hidden="0" customHeight="1">
      <x:c r="A197" s="14" t="n">
        <x:v>193</x:v>
      </x:c>
      <x:c r="B197" s="14" t="str">
        <x:v>总裁线</x:v>
      </x:c>
      <x:c r="C197" s="14" t="str">
        <x:v>总裁线</x:v>
      </x:c>
      <x:c r="D197" s="14" t="str">
        <x:v>企划中心</x:v>
      </x:c>
      <x:c r="E197" s="14" t="str">
        <x:v>策划部</x:v>
      </x:c>
      <x:c r="F197" s="14" t="str"/>
      <x:c r="G197" s="13" t="str">
        <x:v>股东会 &gt; 总裁线 &gt; 企划中心 &gt; 策划部</x:v>
      </x:c>
      <x:c r="H197" s="15" t="str">
        <x:v>郑逸凡</x:v>
      </x:c>
      <x:c r="I197" s="15" t="str"/>
      <x:c r="J197" s="15" t="n">
        <x:f>COUNTIF($H$5:$H$229,H197)</x:f>
        <x:v>1</x:v>
      </x:c>
      <x:c r="K197" s="15" t="str">
        <x:f>IF(OR(J197&gt;1,ISNUMBER(SEARCH("兼",I197))),"是","否")</x:f>
        <x:v>否</x:v>
      </x:c>
      <x:c r="L197" s="13" t="str"/>
    </x:row>
    <x:row r="198" ht="15" hidden="0" customHeight="1">
      <x:c r="A198" s="14" t="n">
        <x:v>194</x:v>
      </x:c>
      <x:c r="B198" s="14" t="str">
        <x:v>总裁线</x:v>
      </x:c>
      <x:c r="C198" s="14" t="str">
        <x:v>总裁线</x:v>
      </x:c>
      <x:c r="D198" s="14" t="str">
        <x:v>企划中心</x:v>
      </x:c>
      <x:c r="E198" s="14" t="str">
        <x:v>策划部</x:v>
      </x:c>
      <x:c r="F198" s="14" t="str"/>
      <x:c r="G198" s="13" t="str">
        <x:v>股东会 &gt; 总裁线 &gt; 企划中心 &gt; 策划部</x:v>
      </x:c>
      <x:c r="H198" s="15" t="str">
        <x:v>郑映川</x:v>
      </x:c>
      <x:c r="I198" s="15" t="str"/>
      <x:c r="J198" s="15" t="n">
        <x:f>COUNTIF($H$5:$H$229,H198)</x:f>
        <x:v>1</x:v>
      </x:c>
      <x:c r="K198" s="15" t="str">
        <x:f>IF(OR(J198&gt;1,ISNUMBER(SEARCH("兼",I198))),"是","否")</x:f>
        <x:v>否</x:v>
      </x:c>
      <x:c r="L198" s="13" t="str"/>
    </x:row>
    <x:row r="199" ht="15" hidden="0" customHeight="1">
      <x:c r="A199" s="14" t="n">
        <x:v>195</x:v>
      </x:c>
      <x:c r="B199" s="14" t="str">
        <x:v>总裁线</x:v>
      </x:c>
      <x:c r="C199" s="14" t="str">
        <x:v>总裁线</x:v>
      </x:c>
      <x:c r="D199" s="14" t="str">
        <x:v>新媒体中心</x:v>
      </x:c>
      <x:c r="E199" s="14" t="str"/>
      <x:c r="F199" s="14" t="str"/>
      <x:c r="G199" s="13" t="str">
        <x:v>股东会 &gt; 总裁线 &gt; 新媒体中心</x:v>
      </x:c>
      <x:c r="H199" s="15" t="str">
        <x:v>周明远</x:v>
      </x:c>
      <x:c r="I199" s="15" t="str">
        <x:v>副总经理</x:v>
      </x:c>
      <x:c r="J199" s="15" t="n">
        <x:f>COUNTIF($H$5:$H$229,H199)</x:f>
        <x:v>1</x:v>
      </x:c>
      <x:c r="K199" s="15" t="str">
        <x:f>IF(OR(J199&gt;1,ISNUMBER(SEARCH("兼",I199))),"是","否")</x:f>
        <x:v>否</x:v>
      </x:c>
      <x:c r="L199" s="13" t="str"/>
    </x:row>
    <x:row r="200" ht="15" hidden="0" customHeight="1">
      <x:c r="A200" s="14" t="n">
        <x:v>196</x:v>
      </x:c>
      <x:c r="B200" s="14" t="str">
        <x:v>总裁线</x:v>
      </x:c>
      <x:c r="C200" s="14" t="str">
        <x:v>总裁线</x:v>
      </x:c>
      <x:c r="D200" s="14" t="str">
        <x:v>新媒体中心</x:v>
      </x:c>
      <x:c r="E200" s="14" t="str">
        <x:v>OTA部</x:v>
      </x:c>
      <x:c r="F200" s="14" t="str"/>
      <x:c r="G200" s="13" t="str">
        <x:v>股东会 &gt; 总裁线 &gt; 新媒体中心 &gt; OTA部</x:v>
      </x:c>
      <x:c r="H200" s="15" t="str">
        <x:v>钱卓然</x:v>
      </x:c>
      <x:c r="I200" s="15" t="str"/>
      <x:c r="J200" s="15" t="n">
        <x:f>COUNTIF($H$5:$H$229,H200)</x:f>
        <x:v>1</x:v>
      </x:c>
      <x:c r="K200" s="15" t="str">
        <x:f>IF(OR(J200&gt;1,ISNUMBER(SEARCH("兼",I200))),"是","否")</x:f>
        <x:v>否</x:v>
      </x:c>
      <x:c r="L200" s="13" t="str"/>
    </x:row>
    <x:row r="201" ht="15" hidden="0" customHeight="1">
      <x:c r="A201" s="14" t="n">
        <x:v>197</x:v>
      </x:c>
      <x:c r="B201" s="14" t="str">
        <x:v>总裁线</x:v>
      </x:c>
      <x:c r="C201" s="14" t="str">
        <x:v>总裁线</x:v>
      </x:c>
      <x:c r="D201" s="14" t="str">
        <x:v>新媒体中心</x:v>
      </x:c>
      <x:c r="E201" s="14" t="str">
        <x:v>抖音部</x:v>
      </x:c>
      <x:c r="F201" s="14" t="str"/>
      <x:c r="G201" s="13" t="str">
        <x:v>股东会 &gt; 总裁线 &gt; 新媒体中心 &gt; 抖音部</x:v>
      </x:c>
      <x:c r="H201" s="15" t="str">
        <x:v>孙逸凡</x:v>
      </x:c>
      <x:c r="I201" s="15" t="str"/>
      <x:c r="J201" s="15" t="n">
        <x:f>COUNTIF($H$5:$H$229,H201)</x:f>
        <x:v>1</x:v>
      </x:c>
      <x:c r="K201" s="15" t="str">
        <x:f>IF(OR(J201&gt;1,ISNUMBER(SEARCH("兼",I201))),"是","否")</x:f>
        <x:v>否</x:v>
      </x:c>
      <x:c r="L201" s="13" t="str"/>
    </x:row>
    <x:row r="202" ht="15" hidden="0" customHeight="1">
      <x:c r="A202" s="14" t="n">
        <x:v>198</x:v>
      </x:c>
      <x:c r="B202" s="14" t="str">
        <x:v>总裁线</x:v>
      </x:c>
      <x:c r="C202" s="14" t="str">
        <x:v>总裁线</x:v>
      </x:c>
      <x:c r="D202" s="14" t="str">
        <x:v>新媒体中心</x:v>
      </x:c>
      <x:c r="E202" s="14" t="str">
        <x:v>品牌部</x:v>
      </x:c>
      <x:c r="F202" s="14" t="str"/>
      <x:c r="G202" s="13" t="str">
        <x:v>股东会 &gt; 总裁线 &gt; 新媒体中心 &gt; 品牌部</x:v>
      </x:c>
      <x:c r="H202" s="15" t="str">
        <x:v>钱可为</x:v>
      </x:c>
      <x:c r="I202" s="15" t="str"/>
      <x:c r="J202" s="15" t="n">
        <x:f>COUNTIF($H$5:$H$229,H202)</x:f>
        <x:v>1</x:v>
      </x:c>
      <x:c r="K202" s="15" t="str">
        <x:f>IF(OR(J202&gt;1,ISNUMBER(SEARCH("兼",I202))),"是","否")</x:f>
        <x:v>否</x:v>
      </x:c>
      <x:c r="L202" s="13" t="str"/>
    </x:row>
    <x:row r="203" ht="15" hidden="0" customHeight="1">
      <x:c r="A203" s="14" t="n">
        <x:v>199</x:v>
      </x:c>
      <x:c r="B203" s="14" t="str">
        <x:v>总裁线</x:v>
      </x:c>
      <x:c r="C203" s="14" t="str">
        <x:v>总裁线</x:v>
      </x:c>
      <x:c r="D203" s="14" t="str">
        <x:v>运营中心</x:v>
      </x:c>
      <x:c r="E203" s="14" t="str">
        <x:v>中心管理</x:v>
      </x:c>
      <x:c r="F203" s="14" t="str"/>
      <x:c r="G203" s="13" t="str">
        <x:v>股东会 &gt; 总裁线 &gt; 运营中心 &gt; 中心管理</x:v>
      </x:c>
      <x:c r="H203" s="15" t="str">
        <x:v>钱书航</x:v>
      </x:c>
      <x:c r="I203" s="15" t="str">
        <x:v>总经理</x:v>
      </x:c>
      <x:c r="J203" s="15" t="n">
        <x:f>COUNTIF($H$5:$H$229,H203)</x:f>
        <x:v>1</x:v>
      </x:c>
      <x:c r="K203" s="15" t="str">
        <x:f>IF(OR(J203&gt;1,ISNUMBER(SEARCH("兼",I203))),"是","否")</x:f>
        <x:v>否</x:v>
      </x:c>
      <x:c r="L203" s="13" t="str"/>
    </x:row>
    <x:row r="204" ht="15" hidden="0" customHeight="1">
      <x:c r="A204" s="14" t="n">
        <x:v>200</x:v>
      </x:c>
      <x:c r="B204" s="14" t="str">
        <x:v>总裁线</x:v>
      </x:c>
      <x:c r="C204" s="14" t="str">
        <x:v>总裁线</x:v>
      </x:c>
      <x:c r="D204" s="14" t="str">
        <x:v>运营中心</x:v>
      </x:c>
      <x:c r="E204" s="14" t="str">
        <x:v>中心管理</x:v>
      </x:c>
      <x:c r="F204" s="14" t="str"/>
      <x:c r="G204" s="13" t="str">
        <x:v>股东会 &gt; 总裁线 &gt; 运营中心 &gt; 中心管理</x:v>
      </x:c>
      <x:c r="H204" s="15" t="str">
        <x:v>钱景行</x:v>
      </x:c>
      <x:c r="I204" s="15" t="str">
        <x:v>副总经理</x:v>
      </x:c>
      <x:c r="J204" s="15" t="n">
        <x:f>COUNTIF($H$5:$H$229,H204)</x:f>
        <x:v>1</x:v>
      </x:c>
      <x:c r="K204" s="15" t="str">
        <x:f>IF(OR(J204&gt;1,ISNUMBER(SEARCH("兼",I204))),"是","否")</x:f>
        <x:v>否</x:v>
      </x:c>
      <x:c r="L204" s="13" t="str"/>
    </x:row>
    <x:row r="205" ht="15" hidden="0" customHeight="1">
      <x:c r="A205" s="14" t="n">
        <x:v>201</x:v>
      </x:c>
      <x:c r="B205" s="14" t="str">
        <x:v>总裁线</x:v>
      </x:c>
      <x:c r="C205" s="14" t="str">
        <x:v>总裁线</x:v>
      </x:c>
      <x:c r="D205" s="14" t="str">
        <x:v>运营中心</x:v>
      </x:c>
      <x:c r="E205" s="14" t="str">
        <x:v>中心管理</x:v>
      </x:c>
      <x:c r="F205" s="14" t="str"/>
      <x:c r="G205" s="13" t="str">
        <x:v>股东会 &gt; 总裁线 &gt; 运营中心 &gt; 中心管理</x:v>
      </x:c>
      <x:c r="H205" s="15" t="str">
        <x:v>周卓然</x:v>
      </x:c>
      <x:c r="I205" s="15" t="str">
        <x:v>策划总监</x:v>
      </x:c>
      <x:c r="J205" s="15" t="n">
        <x:f>COUNTIF($H$5:$H$229,H205)</x:f>
        <x:v>1</x:v>
      </x:c>
      <x:c r="K205" s="15" t="str">
        <x:f>IF(OR(J205&gt;1,ISNUMBER(SEARCH("兼",I205))),"是","否")</x:f>
        <x:v>否</x:v>
      </x:c>
      <x:c r="L205" s="13" t="str"/>
    </x:row>
    <x:row r="206" ht="15" hidden="0" customHeight="1">
      <x:c r="A206" s="14" t="n">
        <x:v>202</x:v>
      </x:c>
      <x:c r="B206" s="14" t="str">
        <x:v>总裁线</x:v>
      </x:c>
      <x:c r="C206" s="14" t="str">
        <x:v>总裁线</x:v>
      </x:c>
      <x:c r="D206" s="14" t="str">
        <x:v>运营中心</x:v>
      </x:c>
      <x:c r="E206" s="14" t="str">
        <x:v>接待部</x:v>
      </x:c>
      <x:c r="F206" s="14" t="str"/>
      <x:c r="G206" s="13" t="str">
        <x:v>股东会 &gt; 总裁线 &gt; 运营中心 &gt; 接待部</x:v>
      </x:c>
      <x:c r="H206" s="15" t="str">
        <x:v>孙安宁</x:v>
      </x:c>
      <x:c r="I206" s="15" t="str">
        <x:v>经理</x:v>
      </x:c>
      <x:c r="J206" s="15" t="n">
        <x:f>COUNTIF($H$5:$H$229,H206)</x:f>
        <x:v>1</x:v>
      </x:c>
      <x:c r="K206" s="15" t="str">
        <x:f>IF(OR(J206&gt;1,ISNUMBER(SEARCH("兼",I206))),"是","否")</x:f>
        <x:v>否</x:v>
      </x:c>
      <x:c r="L206" s="13" t="str"/>
    </x:row>
    <x:row r="207" ht="15" hidden="0" customHeight="1">
      <x:c r="A207" s="14" t="n">
        <x:v>203</x:v>
      </x:c>
      <x:c r="B207" s="14" t="str">
        <x:v>总裁线</x:v>
      </x:c>
      <x:c r="C207" s="14" t="str">
        <x:v>总裁线</x:v>
      </x:c>
      <x:c r="D207" s="14" t="str">
        <x:v>运营中心</x:v>
      </x:c>
      <x:c r="E207" s="14" t="str">
        <x:v>接待部</x:v>
      </x:c>
      <x:c r="F207" s="14" t="str"/>
      <x:c r="G207" s="13" t="str">
        <x:v>股东会 &gt; 总裁线 &gt; 运营中心 &gt; 接待部</x:v>
      </x:c>
      <x:c r="H207" s="15" t="str">
        <x:v>周映川</x:v>
      </x:c>
      <x:c r="I207" s="15" t="str">
        <x:v>副经理</x:v>
      </x:c>
      <x:c r="J207" s="15" t="n">
        <x:f>COUNTIF($H$5:$H$229,H207)</x:f>
        <x:v>1</x:v>
      </x:c>
      <x:c r="K207" s="15" t="str">
        <x:f>IF(OR(J207&gt;1,ISNUMBER(SEARCH("兼",I207))),"是","否")</x:f>
        <x:v>否</x:v>
      </x:c>
      <x:c r="L207" s="13" t="str"/>
    </x:row>
    <x:row r="208" ht="15" hidden="0" customHeight="1">
      <x:c r="A208" s="14" t="n">
        <x:v>204</x:v>
      </x:c>
      <x:c r="B208" s="14" t="str">
        <x:v>总裁线</x:v>
      </x:c>
      <x:c r="C208" s="14" t="str">
        <x:v>总裁线</x:v>
      </x:c>
      <x:c r="D208" s="14" t="str">
        <x:v>运营中心</x:v>
      </x:c>
      <x:c r="E208" s="14" t="str">
        <x:v>接待部</x:v>
      </x:c>
      <x:c r="F208" s="14" t="str"/>
      <x:c r="G208" s="13" t="str">
        <x:v>股东会 &gt; 总裁线 &gt; 运营中心 &gt; 接待部</x:v>
      </x:c>
      <x:c r="H208" s="15" t="str">
        <x:v>冯允禾</x:v>
      </x:c>
      <x:c r="I208" s="15" t="str"/>
      <x:c r="J208" s="15" t="n">
        <x:f>COUNTIF($H$5:$H$229,H208)</x:f>
        <x:v>1</x:v>
      </x:c>
      <x:c r="K208" s="15" t="str">
        <x:f>IF(OR(J208&gt;1,ISNUMBER(SEARCH("兼",I208))),"是","否")</x:f>
        <x:v>否</x:v>
      </x:c>
      <x:c r="L208" s="13" t="str"/>
    </x:row>
    <x:row r="209" ht="15" hidden="0" customHeight="1">
      <x:c r="A209" s="14" t="n">
        <x:v>205</x:v>
      </x:c>
      <x:c r="B209" s="14" t="str">
        <x:v>总裁线</x:v>
      </x:c>
      <x:c r="C209" s="14" t="str">
        <x:v>总裁线</x:v>
      </x:c>
      <x:c r="D209" s="14" t="str">
        <x:v>运营中心</x:v>
      </x:c>
      <x:c r="E209" s="14" t="str">
        <x:v>接待部</x:v>
      </x:c>
      <x:c r="F209" s="14" t="str"/>
      <x:c r="G209" s="13" t="str">
        <x:v>股东会 &gt; 总裁线 &gt; 运营中心 &gt; 接待部</x:v>
      </x:c>
      <x:c r="H209" s="15" t="str">
        <x:v>褚予晴</x:v>
      </x:c>
      <x:c r="I209" s="15" t="str"/>
      <x:c r="J209" s="15" t="n">
        <x:f>COUNTIF($H$5:$H$229,H209)</x:f>
        <x:v>1</x:v>
      </x:c>
      <x:c r="K209" s="15" t="str">
        <x:f>IF(OR(J209&gt;1,ISNUMBER(SEARCH("兼",I209))),"是","否")</x:f>
        <x:v>否</x:v>
      </x:c>
      <x:c r="L209" s="13" t="str"/>
    </x:row>
    <x:row r="210" ht="15" hidden="0" customHeight="1">
      <x:c r="A210" s="14" t="n">
        <x:v>206</x:v>
      </x:c>
      <x:c r="B210" s="14" t="str">
        <x:v>总裁线</x:v>
      </x:c>
      <x:c r="C210" s="14" t="str">
        <x:v>总裁线</x:v>
      </x:c>
      <x:c r="D210" s="14" t="str">
        <x:v>运营中心</x:v>
      </x:c>
      <x:c r="E210" s="14" t="str">
        <x:v>接待部</x:v>
      </x:c>
      <x:c r="F210" s="14" t="str"/>
      <x:c r="G210" s="13" t="str">
        <x:v>股东会 &gt; 总裁线 &gt; 运营中心 &gt; 接待部</x:v>
      </x:c>
      <x:c r="H210" s="15" t="str">
        <x:v>卫映川</x:v>
      </x:c>
      <x:c r="I210" s="15" t="str"/>
      <x:c r="J210" s="15" t="n">
        <x:f>COUNTIF($H$5:$H$229,H210)</x:f>
        <x:v>1</x:v>
      </x:c>
      <x:c r="K210" s="15" t="str">
        <x:f>IF(OR(J210&gt;1,ISNUMBER(SEARCH("兼",I210))),"是","否")</x:f>
        <x:v>否</x:v>
      </x:c>
      <x:c r="L210" s="13" t="str"/>
    </x:row>
    <x:row r="211" ht="15" hidden="0" customHeight="1">
      <x:c r="A211" s="14" t="n">
        <x:v>207</x:v>
      </x:c>
      <x:c r="B211" s="14" t="str">
        <x:v>总裁线</x:v>
      </x:c>
      <x:c r="C211" s="14" t="str">
        <x:v>总裁线</x:v>
      </x:c>
      <x:c r="D211" s="14" t="str">
        <x:v>运营中心</x:v>
      </x:c>
      <x:c r="E211" s="14" t="str">
        <x:v>接待部</x:v>
      </x:c>
      <x:c r="F211" s="14" t="str"/>
      <x:c r="G211" s="13" t="str">
        <x:v>股东会 &gt; 总裁线 &gt; 运营中心 &gt; 接待部</x:v>
      </x:c>
      <x:c r="H211" s="15" t="str">
        <x:v>周宸宇</x:v>
      </x:c>
      <x:c r="I211" s="15" t="str"/>
      <x:c r="J211" s="15" t="n">
        <x:f>COUNTIF($H$5:$H$229,H211)</x:f>
        <x:v>1</x:v>
      </x:c>
      <x:c r="K211" s="15" t="str">
        <x:f>IF(OR(J211&gt;1,ISNUMBER(SEARCH("兼",I211))),"是","否")</x:f>
        <x:v>否</x:v>
      </x:c>
      <x:c r="L211" s="13" t="str"/>
    </x:row>
    <x:row r="212" ht="15" hidden="0" customHeight="1">
      <x:c r="A212" s="14" t="n">
        <x:v>208</x:v>
      </x:c>
      <x:c r="B212" s="14" t="str">
        <x:v>总裁线</x:v>
      </x:c>
      <x:c r="C212" s="14" t="str">
        <x:v>总裁线</x:v>
      </x:c>
      <x:c r="D212" s="14" t="str">
        <x:v>运营中心</x:v>
      </x:c>
      <x:c r="E212" s="14" t="str">
        <x:v>接待部</x:v>
      </x:c>
      <x:c r="F212" s="14" t="str"/>
      <x:c r="G212" s="13" t="str">
        <x:v>股东会 &gt; 总裁线 &gt; 运营中心 &gt; 接待部</x:v>
      </x:c>
      <x:c r="H212" s="15" t="str">
        <x:v>郑思源</x:v>
      </x:c>
      <x:c r="I212" s="15" t="str"/>
      <x:c r="J212" s="15" t="n">
        <x:f>COUNTIF($H$5:$H$229,H212)</x:f>
        <x:v>1</x:v>
      </x:c>
      <x:c r="K212" s="15" t="str">
        <x:f>IF(OR(J212&gt;1,ISNUMBER(SEARCH("兼",I212))),"是","否")</x:f>
        <x:v>否</x:v>
      </x:c>
      <x:c r="L212" s="13" t="str"/>
    </x:row>
    <x:row r="213" ht="15" hidden="0" customHeight="1">
      <x:c r="A213" s="14" t="n">
        <x:v>209</x:v>
      </x:c>
      <x:c r="B213" s="14" t="str">
        <x:v>总裁线</x:v>
      </x:c>
      <x:c r="C213" s="14" t="str">
        <x:v>总裁线</x:v>
      </x:c>
      <x:c r="D213" s="14" t="str">
        <x:v>运营中心</x:v>
      </x:c>
      <x:c r="E213" s="14" t="str">
        <x:v>接待部</x:v>
      </x:c>
      <x:c r="F213" s="14" t="str"/>
      <x:c r="G213" s="13" t="str">
        <x:v>股东会 &gt; 总裁线 &gt; 运营中心 &gt; 接待部</x:v>
      </x:c>
      <x:c r="H213" s="15" t="str">
        <x:v>郑希文</x:v>
      </x:c>
      <x:c r="I213" s="15" t="str"/>
      <x:c r="J213" s="15" t="n">
        <x:f>COUNTIF($H$5:$H$229,H213)</x:f>
        <x:v>1</x:v>
      </x:c>
      <x:c r="K213" s="15" t="str">
        <x:f>IF(OR(J213&gt;1,ISNUMBER(SEARCH("兼",I213))),"是","否")</x:f>
        <x:v>否</x:v>
      </x:c>
      <x:c r="L213" s="13" t="str"/>
    </x:row>
    <x:row r="214" ht="15" hidden="0" customHeight="1">
      <x:c r="A214" s="14" t="n">
        <x:v>210</x:v>
      </x:c>
      <x:c r="B214" s="14" t="str">
        <x:v>总裁线</x:v>
      </x:c>
      <x:c r="C214" s="14" t="str">
        <x:v>总裁线</x:v>
      </x:c>
      <x:c r="D214" s="14" t="str">
        <x:v>运营中心</x:v>
      </x:c>
      <x:c r="E214" s="14" t="str">
        <x:v>接待部</x:v>
      </x:c>
      <x:c r="F214" s="14" t="str"/>
      <x:c r="G214" s="13" t="str">
        <x:v>股东会 &gt; 总裁线 &gt; 运营中心 &gt; 接待部</x:v>
      </x:c>
      <x:c r="H214" s="15" t="str">
        <x:v>周清越</x:v>
      </x:c>
      <x:c r="I214" s="15" t="str"/>
      <x:c r="J214" s="15" t="n">
        <x:f>COUNTIF($H$5:$H$229,H214)</x:f>
        <x:v>1</x:v>
      </x:c>
      <x:c r="K214" s="15" t="str">
        <x:f>IF(OR(J214&gt;1,ISNUMBER(SEARCH("兼",I214))),"是","否")</x:f>
        <x:v>否</x:v>
      </x:c>
      <x:c r="L214" s="13" t="str"/>
    </x:row>
    <x:row r="215" ht="15" hidden="0" customHeight="1">
      <x:c r="A215" s="14" t="n">
        <x:v>211</x:v>
      </x:c>
      <x:c r="B215" s="14" t="str">
        <x:v>总裁线</x:v>
      </x:c>
      <x:c r="C215" s="14" t="str">
        <x:v>总裁线</x:v>
      </x:c>
      <x:c r="D215" s="14" t="str">
        <x:v>运营中心</x:v>
      </x:c>
      <x:c r="E215" s="14" t="str">
        <x:v>接待部</x:v>
      </x:c>
      <x:c r="F215" s="14" t="str"/>
      <x:c r="G215" s="13" t="str">
        <x:v>股东会 &gt; 总裁线 &gt; 运营中心 &gt; 接待部</x:v>
      </x:c>
      <x:c r="H215" s="15" t="str">
        <x:v>周若溪</x:v>
      </x:c>
      <x:c r="I215" s="15" t="str"/>
      <x:c r="J215" s="15" t="n">
        <x:f>COUNTIF($H$5:$H$229,H215)</x:f>
        <x:v>1</x:v>
      </x:c>
      <x:c r="K215" s="15" t="str">
        <x:f>IF(OR(J215&gt;1,ISNUMBER(SEARCH("兼",I215))),"是","否")</x:f>
        <x:v>否</x:v>
      </x:c>
      <x:c r="L215" s="13" t="str"/>
    </x:row>
    <x:row r="216" ht="15" hidden="0" customHeight="1">
      <x:c r="A216" s="14" t="n">
        <x:v>212</x:v>
      </x:c>
      <x:c r="B216" s="14" t="str">
        <x:v>总裁线</x:v>
      </x:c>
      <x:c r="C216" s="14" t="str">
        <x:v>总裁线</x:v>
      </x:c>
      <x:c r="D216" s="14" t="str">
        <x:v>运营中心</x:v>
      </x:c>
      <x:c r="E216" s="14" t="str">
        <x:v>接待部</x:v>
      </x:c>
      <x:c r="F216" s="14" t="str"/>
      <x:c r="G216" s="13" t="str">
        <x:v>股东会 &gt; 总裁线 &gt; 运营中心 &gt; 接待部</x:v>
      </x:c>
      <x:c r="H216" s="15" t="str">
        <x:v>周景行</x:v>
      </x:c>
      <x:c r="I216" s="15" t="str"/>
      <x:c r="J216" s="15" t="n">
        <x:f>COUNTIF($H$5:$H$229,H216)</x:f>
        <x:v>1</x:v>
      </x:c>
      <x:c r="K216" s="15" t="str">
        <x:f>IF(OR(J216&gt;1,ISNUMBER(SEARCH("兼",I216))),"是","否")</x:f>
        <x:v>否</x:v>
      </x:c>
      <x:c r="L216" s="13" t="str"/>
    </x:row>
    <x:row r="217" ht="15" hidden="0" customHeight="1">
      <x:c r="A217" s="14" t="n">
        <x:v>213</x:v>
      </x:c>
      <x:c r="B217" s="14" t="str">
        <x:v>总裁线</x:v>
      </x:c>
      <x:c r="C217" s="14" t="str">
        <x:v>总裁线</x:v>
      </x:c>
      <x:c r="D217" s="14" t="str">
        <x:v>运营中心</x:v>
      </x:c>
      <x:c r="E217" s="14" t="str">
        <x:v>接待部</x:v>
      </x:c>
      <x:c r="F217" s="14" t="str"/>
      <x:c r="G217" s="13" t="str">
        <x:v>股东会 &gt; 总裁线 &gt; 运营中心 &gt; 接待部</x:v>
      </x:c>
      <x:c r="H217" s="15" t="str">
        <x:v>孙希文</x:v>
      </x:c>
      <x:c r="I217" s="15" t="str"/>
      <x:c r="J217" s="15" t="n">
        <x:f>COUNTIF($H$5:$H$229,H217)</x:f>
        <x:v>1</x:v>
      </x:c>
      <x:c r="K217" s="15" t="str">
        <x:f>IF(OR(J217&gt;1,ISNUMBER(SEARCH("兼",I217))),"是","否")</x:f>
        <x:v>否</x:v>
      </x:c>
      <x:c r="L217" s="13" t="str"/>
    </x:row>
    <x:row r="218" ht="15" hidden="0" customHeight="1">
      <x:c r="A218" s="14" t="n">
        <x:v>214</x:v>
      </x:c>
      <x:c r="B218" s="14" t="str">
        <x:v>总裁线</x:v>
      </x:c>
      <x:c r="C218" s="14" t="str">
        <x:v>总裁线</x:v>
      </x:c>
      <x:c r="D218" s="14" t="str">
        <x:v>运营中心</x:v>
      </x:c>
      <x:c r="E218" s="14" t="str">
        <x:v>接待部</x:v>
      </x:c>
      <x:c r="F218" s="14" t="str"/>
      <x:c r="G218" s="13" t="str">
        <x:v>股东会 &gt; 总裁线 &gt; 运营中心 &gt; 接待部</x:v>
      </x:c>
      <x:c r="H218" s="15" t="str">
        <x:v>孙静川</x:v>
      </x:c>
      <x:c r="I218" s="15" t="str"/>
      <x:c r="J218" s="15" t="n">
        <x:f>COUNTIF($H$5:$H$229,H218)</x:f>
        <x:v>1</x:v>
      </x:c>
      <x:c r="K218" s="15" t="str">
        <x:f>IF(OR(J218&gt;1,ISNUMBER(SEARCH("兼",I218))),"是","否")</x:f>
        <x:v>否</x:v>
      </x:c>
      <x:c r="L218" s="13" t="str"/>
    </x:row>
    <x:row r="219" ht="15" hidden="0" customHeight="1">
      <x:c r="A219" s="14" t="n">
        <x:v>215</x:v>
      </x:c>
      <x:c r="B219" s="14" t="str">
        <x:v>总裁线</x:v>
      </x:c>
      <x:c r="C219" s="14" t="str">
        <x:v>总裁线</x:v>
      </x:c>
      <x:c r="D219" s="14" t="str">
        <x:v>运营中心</x:v>
      </x:c>
      <x:c r="E219" s="14" t="str">
        <x:v>接待部</x:v>
      </x:c>
      <x:c r="F219" s="14" t="str"/>
      <x:c r="G219" s="13" t="str">
        <x:v>股东会 &gt; 总裁线 &gt; 运营中心 &gt; 接待部</x:v>
      </x:c>
      <x:c r="H219" s="15" t="str">
        <x:v>钱嘉言</x:v>
      </x:c>
      <x:c r="I219" s="15" t="str"/>
      <x:c r="J219" s="15" t="n">
        <x:f>COUNTIF($H$5:$H$229,H219)</x:f>
        <x:v>1</x:v>
      </x:c>
      <x:c r="K219" s="15" t="str">
        <x:f>IF(OR(J219&gt;1,ISNUMBER(SEARCH("兼",I219))),"是","否")</x:f>
        <x:v>否</x:v>
      </x:c>
      <x:c r="L219" s="13" t="str"/>
    </x:row>
    <x:row r="220" ht="15" hidden="0" customHeight="1">
      <x:c r="A220" s="14" t="n">
        <x:v>216</x:v>
      </x:c>
      <x:c r="B220" s="14" t="str">
        <x:v>总裁线</x:v>
      </x:c>
      <x:c r="C220" s="14" t="str">
        <x:v>总裁线</x:v>
      </x:c>
      <x:c r="D220" s="14" t="str">
        <x:v>运营中心</x:v>
      </x:c>
      <x:c r="E220" s="14" t="str">
        <x:v>接待部</x:v>
      </x:c>
      <x:c r="F220" s="14" t="str"/>
      <x:c r="G220" s="13" t="str">
        <x:v>股东会 &gt; 总裁线 &gt; 运营中心 &gt; 接待部</x:v>
      </x:c>
      <x:c r="H220" s="15" t="str">
        <x:v>周安宁</x:v>
      </x:c>
      <x:c r="I220" s="15" t="str"/>
      <x:c r="J220" s="15" t="n">
        <x:f>COUNTIF($H$5:$H$229,H220)</x:f>
        <x:v>1</x:v>
      </x:c>
      <x:c r="K220" s="15" t="str">
        <x:f>IF(OR(J220&gt;1,ISNUMBER(SEARCH("兼",I220))),"是","否")</x:f>
        <x:v>否</x:v>
      </x:c>
      <x:c r="L220" s="13" t="str"/>
    </x:row>
    <x:row r="221" ht="15" hidden="0" customHeight="1">
      <x:c r="A221" s="14" t="n">
        <x:v>217</x:v>
      </x:c>
      <x:c r="B221" s="14" t="str">
        <x:v>总裁线</x:v>
      </x:c>
      <x:c r="C221" s="14" t="str">
        <x:v>总裁线</x:v>
      </x:c>
      <x:c r="D221" s="14" t="str">
        <x:v>运营中心</x:v>
      </x:c>
      <x:c r="E221" s="14" t="str">
        <x:v>接待部</x:v>
      </x:c>
      <x:c r="F221" s="14" t="str"/>
      <x:c r="G221" s="13" t="str">
        <x:v>股东会 &gt; 总裁线 &gt; 运营中心 &gt; 接待部</x:v>
      </x:c>
      <x:c r="H221" s="15" t="str">
        <x:v>郑嘉言</x:v>
      </x:c>
      <x:c r="I221" s="15" t="str"/>
      <x:c r="J221" s="15" t="n">
        <x:f>COUNTIF($H$5:$H$229,H221)</x:f>
        <x:v>1</x:v>
      </x:c>
      <x:c r="K221" s="15" t="str">
        <x:f>IF(OR(J221&gt;1,ISNUMBER(SEARCH("兼",I221))),"是","否")</x:f>
        <x:v>否</x:v>
      </x:c>
      <x:c r="L221" s="13" t="str"/>
    </x:row>
    <x:row r="222" ht="15" hidden="0" customHeight="1">
      <x:c r="A222" s="14" t="n">
        <x:v>218</x:v>
      </x:c>
      <x:c r="B222" s="14" t="str">
        <x:v>总裁线</x:v>
      </x:c>
      <x:c r="C222" s="14" t="str">
        <x:v>总裁线</x:v>
      </x:c>
      <x:c r="D222" s="14" t="str">
        <x:v>运营中心</x:v>
      </x:c>
      <x:c r="E222" s="14" t="str">
        <x:v>营销部</x:v>
      </x:c>
      <x:c r="F222" s="14" t="str"/>
      <x:c r="G222" s="13" t="str">
        <x:v>股东会 &gt; 总裁线 &gt; 运营中心 &gt; 营销部</x:v>
      </x:c>
      <x:c r="H222" s="15" t="str">
        <x:v>郑若溪</x:v>
      </x:c>
      <x:c r="I222" s="15" t="str"/>
      <x:c r="J222" s="15" t="n">
        <x:f>COUNTIF($H$5:$H$229,H222)</x:f>
        <x:v>1</x:v>
      </x:c>
      <x:c r="K222" s="15" t="str">
        <x:f>IF(OR(J222&gt;1,ISNUMBER(SEARCH("兼",I222))),"是","否")</x:f>
        <x:v>否</x:v>
      </x:c>
      <x:c r="L222" s="13" t="str"/>
    </x:row>
    <x:row r="223" ht="15" hidden="0" customHeight="1">
      <x:c r="A223" s="14" t="n">
        <x:v>219</x:v>
      </x:c>
      <x:c r="B223" s="14" t="str">
        <x:v>总裁线</x:v>
      </x:c>
      <x:c r="C223" s="14" t="str">
        <x:v>总裁线</x:v>
      </x:c>
      <x:c r="D223" s="14" t="str">
        <x:v>运营中心</x:v>
      </x:c>
      <x:c r="E223" s="14" t="str">
        <x:v>营销部</x:v>
      </x:c>
      <x:c r="F223" s="14" t="str"/>
      <x:c r="G223" s="13" t="str">
        <x:v>股东会 &gt; 总裁线 &gt; 运营中心 &gt; 营销部</x:v>
      </x:c>
      <x:c r="H223" s="15" t="str">
        <x:v>卫沐辰</x:v>
      </x:c>
      <x:c r="I223" s="15" t="str"/>
      <x:c r="J223" s="15" t="n">
        <x:f>COUNTIF($H$5:$H$229,H223)</x:f>
        <x:v>1</x:v>
      </x:c>
      <x:c r="K223" s="15" t="str">
        <x:f>IF(OR(J223&gt;1,ISNUMBER(SEARCH("兼",I223))),"是","否")</x:f>
        <x:v>否</x:v>
      </x:c>
      <x:c r="L223" s="13" t="str"/>
    </x:row>
    <x:row r="224" ht="15" hidden="0" customHeight="1">
      <x:c r="A224" s="14" t="n">
        <x:v>220</x:v>
      </x:c>
      <x:c r="B224" s="14" t="str">
        <x:v>总裁线</x:v>
      </x:c>
      <x:c r="C224" s="14" t="str">
        <x:v>总裁线</x:v>
      </x:c>
      <x:c r="D224" s="14" t="str">
        <x:v>运营中心</x:v>
      </x:c>
      <x:c r="E224" s="14" t="str">
        <x:v>营销部</x:v>
      </x:c>
      <x:c r="F224" s="14" t="str"/>
      <x:c r="G224" s="13" t="str">
        <x:v>股东会 &gt; 总裁线 &gt; 运营中心 &gt; 营销部</x:v>
      </x:c>
      <x:c r="H224" s="15" t="str">
        <x:v>周云舟</x:v>
      </x:c>
      <x:c r="I224" s="15" t="str"/>
      <x:c r="J224" s="15" t="n">
        <x:f>COUNTIF($H$5:$H$229,H224)</x:f>
        <x:v>1</x:v>
      </x:c>
      <x:c r="K224" s="15" t="str">
        <x:f>IF(OR(J224&gt;1,ISNUMBER(SEARCH("兼",I224))),"是","否")</x:f>
        <x:v>否</x:v>
      </x:c>
      <x:c r="L224" s="13" t="str"/>
    </x:row>
    <x:row r="225" ht="15" hidden="0" customHeight="1">
      <x:c r="A225" s="14" t="n">
        <x:v>221</x:v>
      </x:c>
      <x:c r="B225" s="14" t="str">
        <x:v>总裁线</x:v>
      </x:c>
      <x:c r="C225" s="14" t="str">
        <x:v>总裁线</x:v>
      </x:c>
      <x:c r="D225" s="14" t="str">
        <x:v>运营中心</x:v>
      </x:c>
      <x:c r="E225" s="14" t="str">
        <x:v>营销部</x:v>
      </x:c>
      <x:c r="F225" s="14" t="str"/>
      <x:c r="G225" s="13" t="str">
        <x:v>股东会 &gt; 总裁线 &gt; 运营中心 &gt; 营销部</x:v>
      </x:c>
      <x:c r="H225" s="15" t="str">
        <x:v>钱思源</x:v>
      </x:c>
      <x:c r="I225" s="15" t="str"/>
      <x:c r="J225" s="15" t="n">
        <x:f>COUNTIF($H$5:$H$229,H225)</x:f>
        <x:v>1</x:v>
      </x:c>
      <x:c r="K225" s="15" t="str">
        <x:f>IF(OR(J225&gt;1,ISNUMBER(SEARCH("兼",I225))),"是","否")</x:f>
        <x:v>否</x:v>
      </x:c>
      <x:c r="L225" s="13" t="str"/>
    </x:row>
    <x:row r="226" ht="15" hidden="0" customHeight="1">
      <x:c r="A226" s="14" t="n">
        <x:v>222</x:v>
      </x:c>
      <x:c r="B226" s="14" t="str">
        <x:v>总裁线</x:v>
      </x:c>
      <x:c r="C226" s="14" t="str">
        <x:v>总裁线</x:v>
      </x:c>
      <x:c r="D226" s="14" t="str">
        <x:v>运营中心</x:v>
      </x:c>
      <x:c r="E226" s="14" t="str">
        <x:v>营销部</x:v>
      </x:c>
      <x:c r="F226" s="14" t="str"/>
      <x:c r="G226" s="13" t="str">
        <x:v>股东会 &gt; 总裁线 &gt; 运营中心 &gt; 营销部</x:v>
      </x:c>
      <x:c r="H226" s="15" t="str">
        <x:v>钱逸凡</x:v>
      </x:c>
      <x:c r="I226" s="15" t="str"/>
      <x:c r="J226" s="15" t="n">
        <x:f>COUNTIF($H$5:$H$229,H226)</x:f>
        <x:v>1</x:v>
      </x:c>
      <x:c r="K226" s="15" t="str">
        <x:f>IF(OR(J226&gt;1,ISNUMBER(SEARCH("兼",I226))),"是","否")</x:f>
        <x:v>否</x:v>
      </x:c>
      <x:c r="L226" s="13" t="str"/>
    </x:row>
    <x:row r="227" ht="15" hidden="0" customHeight="1">
      <x:c r="A227" s="14" t="n">
        <x:v>223</x:v>
      </x:c>
      <x:c r="B227" s="14" t="str">
        <x:v>总裁线</x:v>
      </x:c>
      <x:c r="C227" s="14" t="str">
        <x:v>总裁线</x:v>
      </x:c>
      <x:c r="D227" s="14" t="str">
        <x:v>运营中心</x:v>
      </x:c>
      <x:c r="E227" s="14" t="str">
        <x:v>营销部</x:v>
      </x:c>
      <x:c r="F227" s="14" t="str"/>
      <x:c r="G227" s="13" t="str">
        <x:v>股东会 &gt; 总裁线 &gt; 运营中心 &gt; 营销部</x:v>
      </x:c>
      <x:c r="H227" s="15" t="str">
        <x:v>郑云舟</x:v>
      </x:c>
      <x:c r="I227" s="15" t="str"/>
      <x:c r="J227" s="15" t="n">
        <x:f>COUNTIF($H$5:$H$229,H227)</x:f>
        <x:v>1</x:v>
      </x:c>
      <x:c r="K227" s="15" t="str">
        <x:f>IF(OR(J227&gt;1,ISNUMBER(SEARCH("兼",I227))),"是","否")</x:f>
        <x:v>否</x:v>
      </x:c>
      <x:c r="L227" s="13" t="str"/>
    </x:row>
    <x:row r="228" ht="15" hidden="0" customHeight="1">
      <x:c r="A228" s="14" t="n">
        <x:v>224</x:v>
      </x:c>
      <x:c r="B228" s="14" t="str">
        <x:v>总裁线</x:v>
      </x:c>
      <x:c r="C228" s="14" t="str">
        <x:v>总裁线</x:v>
      </x:c>
      <x:c r="D228" s="14" t="str">
        <x:v>运营中心</x:v>
      </x:c>
      <x:c r="E228" s="14" t="str">
        <x:v>营销部</x:v>
      </x:c>
      <x:c r="F228" s="14" t="str"/>
      <x:c r="G228" s="13" t="str">
        <x:v>股东会 &gt; 总裁线 &gt; 运营中心 &gt; 营销部</x:v>
      </x:c>
      <x:c r="H228" s="15" t="str">
        <x:v>褚嘉树</x:v>
      </x:c>
      <x:c r="I228" s="15" t="str"/>
      <x:c r="J228" s="15" t="n">
        <x:f>COUNTIF($H$5:$H$229,H228)</x:f>
        <x:v>1</x:v>
      </x:c>
      <x:c r="K228" s="15" t="str">
        <x:f>IF(OR(J228&gt;1,ISNUMBER(SEARCH("兼",I228))),"是","否")</x:f>
        <x:v>否</x:v>
      </x:c>
      <x:c r="L228" s="13" t="str"/>
    </x:row>
    <x:row r="229" ht="15" hidden="0" customHeight="1">
      <x:c r="A229" s="14" t="n">
        <x:v>225</x:v>
      </x:c>
      <x:c r="B229" s="14" t="str">
        <x:v>总裁线</x:v>
      </x:c>
      <x:c r="C229" s="14" t="str">
        <x:v>总裁线</x:v>
      </x:c>
      <x:c r="D229" s="14" t="str">
        <x:v>运营中心</x:v>
      </x:c>
      <x:c r="E229" s="14" t="str">
        <x:v>营销部</x:v>
      </x:c>
      <x:c r="F229" s="14" t="str"/>
      <x:c r="G229" s="13" t="str">
        <x:v>股东会 &gt; 总裁线 &gt; 运营中心 &gt; 营销部</x:v>
      </x:c>
      <x:c r="H229" s="15" t="str">
        <x:v>孙亦辰</x:v>
      </x:c>
      <x:c r="I229" s="15" t="str"/>
      <x:c r="J229" s="15" t="n">
        <x:f>COUNTIF($H$5:$H$229,H229)</x:f>
        <x:v>1</x:v>
      </x:c>
      <x:c r="K229" s="15" t="str">
        <x:f>IF(OR(J229&gt;1,ISNUMBER(SEARCH("兼",I229))),"是","否")</x:f>
        <x:v>否</x:v>
      </x:c>
      <x:c r="L229" s="13" t="str"/>
    </x:row>
  </x:sheetData>
  <x:mergeCells>
    <x:mergeCell ref="A1:L1"/>
    <x:mergeCell ref="A2:L2"/>
  </x:mergeCells>
  <x:conditionalFormatting sqref="K5:K229">
    <x:cfRule type="containsText" dxfId="0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54f4f13338a04336"/>
  </x:tableParts>
</x:worksheet>
</file>