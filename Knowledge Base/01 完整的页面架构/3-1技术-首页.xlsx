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6805" windowHeight="12975"/>
  </bookViews>
  <sheets>
    <sheet name="首页板块清单" sheetId="1" r:id="rId1"/>
    <sheet name="首页布局建议" sheetId="2" r:id="rId2"/>
    <sheet name="角色权限矩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<sst xmlns="http://schemas.openxmlformats.org/spreadsheetml/2006/main" count="329" uniqueCount="293">
  <si>
    <t>上金谷运营系统·技术端首页板块规划</t>
  </si>
  <si>
    <t>设计目标：让技术团队第一眼判断“平台是否稳定、安全、一致、可恢复”；共15个一级首页板块。</t>
  </si>
  <si>
    <t>板块总数</t>
  </si>
  <si>
    <t>P0板块</t>
  </si>
  <si>
    <t>首屏板块</t>
  </si>
  <si>
    <t>来源基线</t>
  </si>
  <si>
    <t>《上金谷运营系统PRD》V3.0 + 三层流程闭环说明书V1.0</t>
  </si>
  <si>
    <t>序号</t>
  </si>
  <si>
    <t>一级首页板块</t>
  </si>
  <si>
    <t>板块定位</t>
  </si>
  <si>
    <t>核心子入口</t>
  </si>
  <si>
    <t>首页展示组件</t>
  </si>
  <si>
    <t>关键指标/提醒</t>
  </si>
  <si>
    <t>主要快捷操作</t>
  </si>
  <si>
    <t>对应业务流程</t>
  </si>
  <si>
    <t>默认数据范围</t>
  </si>
  <si>
    <t>优先级</t>
  </si>
  <si>
    <t>推荐位置</t>
  </si>
  <si>
    <t>刷新频率</t>
  </si>
  <si>
    <t>权限与安全边界</t>
  </si>
  <si>
    <t>来源依据</t>
  </si>
  <si>
    <t>平台运行总览</t>
  </si>
  <si>
    <t>首页总览平台可用性、流量、延迟、错误率、容量和关键业务健康度。</t>
  </si>
  <si>
    <t>可用性；请求量；P95延迟；错误率；资源使用；业务状态分布；外部依赖</t>
  </si>
  <si>
    <t>SLO卡、趋势图、服务地图、容量水位</t>
  </si>
  <si>
    <t>99.9%可用性、P95查询/写入、5xx、CPU/内存/磁盘、积压</t>
  </si>
  <si>
    <t>下钻链路、查看服务、创建故障单、切换维护模式</t>
  </si>
  <si>
    <t>可观测性；性能；可用性；容量</t>
  </si>
  <si>
    <t>平台技术数据；不默认读取业务敏感明细</t>
  </si>
  <si>
    <t>P0</t>
  </si>
  <si>
    <t>首屏</t>
  </si>
  <si>
    <t>10-30秒</t>
  </si>
  <si>
    <t>技术监控与业务审批分离；平台管理员不自动获得业务数据权限。</t>
  </si>
  <si>
    <t>非功能需求、OpenTelemetry、Prometheus、Grafana</t>
  </si>
  <si>
    <t>告警、故障与应急处置</t>
  </si>
  <si>
    <t>集中管理技术告警、故障分级、影响面、值班、恢复和复盘。</t>
  </si>
  <si>
    <t>实时告警；故障事件；影响服务；值班；应急预案；恢复进度；复盘整改</t>
  </si>
  <si>
    <t>告警瀑布、故障时间线、影响拓扑、值班卡</t>
  </si>
  <si>
    <t>P0/P1故障、MTTA、MTTR、重复故障、未恢复服务</t>
  </si>
  <si>
    <t>确认告警、升级、执行预案、切流/降级、恢复、复盘</t>
  </si>
  <si>
    <t>异常告警；故障处置；技术工单；应急恢复</t>
  </si>
  <si>
    <t>技术资源范围</t>
  </si>
  <si>
    <t>实时</t>
  </si>
  <si>
    <t>自动化处置必须受控、可回退、可审计；不得静默修改业务事实。</t>
  </si>
  <si>
    <t>监控告警、故障隔离、人工接管</t>
  </si>
  <si>
    <t>身份认证、权限与访问治理</t>
  </si>
  <si>
    <t>管理SSO、MFA、账号状态、角色、数据范围、字段策略、临时授权和权限复核。</t>
  </si>
  <si>
    <t>用户；SSO；MFA；角色；权限；数据范围；字段脱敏；代理；临时授权；复核</t>
  </si>
  <si>
    <t>账号健康、权限变更、异常访问、复核进度</t>
  </si>
  <si>
    <t>异常登录、高风险权限、过期授权、越权拦截、复核完成率</t>
  </si>
  <si>
    <t>冻结账号、回收权限、发起复核、查看授权来源</t>
  </si>
  <si>
    <t>统一登录；权限生命周期；调岗离职回收</t>
  </si>
  <si>
    <t>IAM技术管理；业务审批权限排除</t>
  </si>
  <si>
    <t>超级管理员不得默认拥有业务审批权；DATA-L4访问需按次授权和审计。</t>
  </si>
  <si>
    <t>五层权限模型、身份认证、字段分级</t>
  </si>
  <si>
    <t>组织主数据与权威源同步</t>
  </si>
  <si>
    <t>监控组织、员工、岗位、合同、薪酬等权威数据源及本地受控投影一致性。</t>
  </si>
  <si>
    <t>权威源注册；组织同步；员工同步；任职同步；编制对账；合同/薪酬同步</t>
  </si>
  <si>
    <t>同步健康、差异工单、版本时间线、权威源地图</t>
  </si>
  <si>
    <t>同步失败、数据差异、延迟、重复人员、双主岗、状态冲突</t>
  </si>
  <si>
    <t>重试同步、生成差异工单、人工接管、切换权威源</t>
  </si>
  <si>
    <t>authoritative_source_registry；主数据同步；编制对账</t>
  </si>
  <si>
    <t>主数据技术投影；敏感字段按职责</t>
  </si>
  <si>
    <t>实时/5分钟</t>
  </si>
  <si>
    <t>禁止“最后写入覆盖”；权威源冲突必须进入差异工单。</t>
  </si>
  <si>
    <t>权威数据源、主数据、数据质量</t>
  </si>
  <si>
    <t>工作流、待办与消息治理</t>
  </si>
  <si>
    <t>监控流程实例、审批任务、SLA、动态审批人、消息送达和积压。</t>
  </si>
  <si>
    <t>流程模板；实例；任务；审批人解析；SLA；委托代理；消息；催办；升级</t>
  </si>
  <si>
    <t>流程实例漏斗、节点耗时、积压队列、失败送达</t>
  </si>
  <si>
    <t>超时流程、无人审批、消息失败、积压任务、错误路由</t>
  </si>
  <si>
    <t>暂停/恢复实例、重试消息、修复路由、人工转交</t>
  </si>
  <si>
    <t>Flowable审批；待办；消息；SLA升级</t>
  </si>
  <si>
    <t>技术治理；业务决定内容受限</t>
  </si>
  <si>
    <t>实时/1分钟</t>
  </si>
  <si>
    <t>技术人员可修复路由和运行故障，不得代替业务角色作出批准/驳回决定。</t>
  </si>
  <si>
    <t>统一工作流、待办消息、审批状态唯一事实</t>
  </si>
  <si>
    <t>规则、字典、参数与业务日历</t>
  </si>
  <si>
    <t>统一管理规则版本、字典、金额阈值、评分模板、业务日历和生效范围。</t>
  </si>
  <si>
    <t>字典；规则；参数；评分模板；流程条件；业务日历；模拟；发布；回退</t>
  </si>
  <si>
    <t>待发布版本、影响分析、模拟结果、到期规则</t>
  </si>
  <si>
    <t>待审批变更、规则冲突、受影响业务数、过期参数</t>
  </si>
  <si>
    <t>创建草稿、测试模拟、发布、回退、查看差异</t>
  </si>
  <si>
    <t>规则参数变更；流程版本；评分模板；业务日历</t>
  </si>
  <si>
    <t>配置权限分级</t>
  </si>
  <si>
    <t>P1</t>
  </si>
  <si>
    <t>第二屏</t>
  </si>
  <si>
    <t>事件驱动</t>
  </si>
  <si>
    <t>高风险参数需业务专业审核；不得执行未经审核的任意脚本。</t>
  </si>
  <si>
    <t>字典中心、规则中心、参数版本、业务日历</t>
  </si>
  <si>
    <t>API、外部集成与对账</t>
  </si>
  <si>
    <t>监控所有外部系统接口、回调、权威方向、超时、重试和对账差异。</t>
  </si>
  <si>
    <t>API目录；调用日志；外部系统；回调；同步任务；对账；补偿；人工接管</t>
  </si>
  <si>
    <t>接口成功率、延迟、错误码、对账差异、依赖地图</t>
  </si>
  <si>
    <t>成功率、P95延迟、超时、重试、失败回调、未对账</t>
  </si>
  <si>
    <t>重试、暂停接口、切换降级、创建修复工单、下载差异</t>
  </si>
  <si>
    <t>HR/财务/门禁/签章/消息/车辆/餐卡/CRM/档案集成</t>
  </si>
  <si>
    <t>集成技术数据；载荷敏感字段脱敏</t>
  </si>
  <si>
    <t>外部成功与本地失败必须可对账；不得以超时推断业务失败或成功。</t>
  </si>
  <si>
    <t>外部集成矩阵、对账、补偿</t>
  </si>
  <si>
    <t>事件、Outbox与任务调度</t>
  </si>
  <si>
    <t>监控领域事件发布、消费者处理、死信、定时任务和补跑。</t>
  </si>
  <si>
    <t>Outbox；Inbox；事件订阅；死信；重试；定时任务；分片；补跑；运行日志</t>
  </si>
  <si>
    <t>事件积压、失败消费者、任务日历、运行历史</t>
  </si>
  <si>
    <t>待发布事件、死信、重复拦截、任务失败、运行时长</t>
  </si>
  <si>
    <t>重试、跳过/隔离、补跑、暂停任务、人工接管</t>
  </si>
  <si>
    <t>可靠事件；定时任务；跨模块最终一致性</t>
  </si>
  <si>
    <t>技术事件元数据；敏感载荷最小化</t>
  </si>
  <si>
    <t>实时/30秒</t>
  </si>
  <si>
    <t>业务数据与Outbox同事务；消费者必须幂等，禁止重复执行金额和账本影响。</t>
  </si>
  <si>
    <t>Outbox/Inbox、幂等、定时任务</t>
  </si>
  <si>
    <t>数据库、数据质量与修复</t>
  </si>
  <si>
    <t>管理数据库健康、约束冲突、数据质量规则、修复工单和一致性断言。</t>
  </si>
  <si>
    <t>数据库健康；慢查询；约束；数据质量；重复数据；状态冲突；修复工单；迁移</t>
  </si>
  <si>
    <t>数据质量评分、异常分类、慢查询排行、修复队列</t>
  </si>
  <si>
    <t>重复人员、双主岗、越界权限、余额差异、约束失败、慢查询</t>
  </si>
  <si>
    <t>创建修复工单、执行双人复核修复、查看前后值、验证补偿</t>
  </si>
  <si>
    <t>数据质量中心；数据库约束；数据修复</t>
  </si>
  <si>
    <t>数据库/数据治理；业务正文按最小权限</t>
  </si>
  <si>
    <t>实时/小时/每日</t>
  </si>
  <si>
    <t>禁止生产无审计手工改表；修复必须双人复核并保留前后值。</t>
  </si>
  <si>
    <t>数据模型约束、数据质量中心、修复工单</t>
  </si>
  <si>
    <t>文件、对象存储与档案服务</t>
  </si>
  <si>
    <t>监控文件上传、病毒扫描、对象存储、签署文件、档案包和完整性校验。</t>
  </si>
  <si>
    <t>文件服务；对象存储；病毒扫描；水印；预览；签章；归档包；哈希校验</t>
  </si>
  <si>
    <t>存储水位、失败上传、扫描异常、归档失败、哈希不一致</t>
  </si>
  <si>
    <t>上传成功率、病毒命中、存储容量、归档通过率、签章回调失败</t>
  </si>
  <si>
    <t>隔离文件、重试归档、校验哈希、恢复版本、查看访问审计</t>
  </si>
  <si>
    <t>文件服务；电子签署；档案包；下载授权</t>
  </si>
  <si>
    <t>文件元数据；DATA-L4内容按次授权</t>
  </si>
  <si>
    <t>不得直接暴露对象存储地址；归档后原件只读，后续追加补充包。</t>
  </si>
  <si>
    <t>文件、电子签署、档案与对象存储</t>
  </si>
  <si>
    <t>发布、变更与版本回退</t>
  </si>
  <si>
    <t>管理需求到发布的可追踪链路、环境、制品、迁移、灰度和回退。</t>
  </si>
  <si>
    <t>需求追踪；代码版本；CI/CD；制品；数据库迁移；变更审批；灰度；回退；发布复盘</t>
  </si>
  <si>
    <t>发布日历、流水线状态、质量门禁、版本拓扑</t>
  </si>
  <si>
    <t>构建失败、测试失败、S0/S1缺陷、迁移风险、回退次数</t>
  </si>
  <si>
    <t>发起发布、审批变更、灰度、回退、冻结版本</t>
  </si>
  <si>
    <t>研发交付；系统变更；发布门禁；ADR</t>
  </si>
  <si>
    <t>研发/运维分权</t>
  </si>
  <si>
    <t>实时/流水线</t>
  </si>
  <si>
    <t>生产发布必须有迁移与回退方案；核心缺陷未清零不得发布。</t>
  </si>
  <si>
    <t>开发规范、质量门禁、发布变更</t>
  </si>
  <si>
    <t>安全、隐私与审计</t>
  </si>
  <si>
    <t>统一展示安全事件、敏感访问、审计完整性、漏洞、密钥和合规状态。</t>
  </si>
  <si>
    <t>安全事件；敏感访问；审计日志；漏洞；依赖；密钥；导出；数据保留；隐私处置</t>
  </si>
  <si>
    <t>风险卡、敏感访问趋势、漏洞分级、审计完整性</t>
  </si>
  <si>
    <t>异常访问、越权拦截、未修复高危漏洞、密钥到期、审计缺口</t>
  </si>
  <si>
    <t>冻结访问、轮换密钥、发起审查、导出审计、处置隐私请求</t>
  </si>
  <si>
    <t>认证授权；审计；数据保护；敏感导出；密钥管理</t>
  </si>
  <si>
    <t>安全角色专属；审计只读</t>
  </si>
  <si>
    <t>实时/小时</t>
  </si>
  <si>
    <t>审计日志追加写入不可改删；日志不得输出完整证件、银行卡、医疗和Token。</t>
  </si>
  <si>
    <t>安全、隐私、审计、密钥管理</t>
  </si>
  <si>
    <t>备份、恢复与灾备</t>
  </si>
  <si>
    <t>监控数据库、对象存储和配置备份，管理恢复演练和灾备目标。</t>
  </si>
  <si>
    <t>全量/增量备份；对象存储备份；配置备份；恢复演练；RPO/RTO；灾备切换</t>
  </si>
  <si>
    <t>备份状态、恢复点、演练结果、RPO/RTO达成</t>
  </si>
  <si>
    <t>备份失败、最近可恢复点、演练通过率、恢复耗时</t>
  </si>
  <si>
    <t>发起备份、验证恢复、执行演练、灾备切换、整改</t>
  </si>
  <si>
    <t>备份；恢复验证；灾备演练</t>
  </si>
  <si>
    <t>运维/灾备专属</t>
  </si>
  <si>
    <t>实时/每日</t>
  </si>
  <si>
    <t>备份成功不等于可恢复；恢复必须在隔离环境验证并审计。</t>
  </si>
  <si>
    <t>备份、恢复演练、RPO/RTO</t>
  </si>
  <si>
    <t>环境、租户、配置与密钥</t>
  </si>
  <si>
    <t>管理开发、测试、生产环境，租户/法人边界，配置注入和密钥生命周期。</t>
  </si>
  <si>
    <t>环境；租户；公司；配置中心；Feature Flag；密钥；证书；服务账号</t>
  </si>
  <si>
    <t>环境状态、配置差异、密钥到期、租户边界</t>
  </si>
  <si>
    <t>配置漂移、密钥到期、错误环境调用、跨租户风险</t>
  </si>
  <si>
    <t>发布配置、轮换密钥、切换开关、对比环境、冻结服务账号</t>
  </si>
  <si>
    <t>配置治理；密钥管理；租户和公司边界</t>
  </si>
  <si>
    <t>平台配置分权</t>
  </si>
  <si>
    <t>底部/抽屉</t>
  </si>
  <si>
    <t>密钥不得写入代码、前端包、日志和脚本；租户与法人字段不得混用。</t>
  </si>
  <si>
    <t>租户/公司边界、配置与密钥</t>
  </si>
  <si>
    <t>技术服务台与开发者控制台</t>
  </si>
  <si>
    <t>统一接收IT请求、研发问题、接口申请、技术文档和服务状态。</t>
  </si>
  <si>
    <t>IT工单；服务目录；API文档；接口申请；开发文档；健康检查；知识库；值班</t>
  </si>
  <si>
    <t>工单队列、服务目录、API健康、知识库推荐</t>
  </si>
  <si>
    <t>工单SLA、一次解决率、重复问题、API申请待办</t>
  </si>
  <si>
    <t>接单、分派、升级、发布知识、申请接口/服务账号</t>
  </si>
  <si>
    <t>IT服务；网络维护；研发协同；知识沉淀</t>
  </si>
  <si>
    <t>按技术团队/服务范围</t>
  </si>
  <si>
    <t>服务台处理技术问题，不替代业务中心确认业务事实和审批结论。</t>
  </si>
  <si>
    <t>网络中心、系统维护、研发、IT工单</t>
  </si>
  <si>
    <t>上金谷运营系统·技术端首页板块规划——首页布局建议</t>
  </si>
  <si>
    <t>首页区域</t>
  </si>
  <si>
    <t>设计目的</t>
  </si>
  <si>
    <t>推荐展示板块</t>
  </si>
  <si>
    <t>组件形式</t>
  </si>
  <si>
    <t>展示规则</t>
  </si>
  <si>
    <t>交互原则</t>
  </si>
  <si>
    <t>移动端策略</t>
  </si>
  <si>
    <t>顶部导航</t>
  </si>
  <si>
    <t>身份、全局搜索、消息和紧急状态</t>
  </si>
  <si>
    <t>推荐位置为“顶部”的板块</t>
  </si>
  <si>
    <t>身份切换、搜索、消息徽标、紧急预警条</t>
  </si>
  <si>
    <t>始终固定；只显示与当前身份有关的数据</t>
  </si>
  <si>
    <t>点击预警必须进入来源业务单，不在首页直接改状态</t>
  </si>
  <si>
    <t>固定顶部；消息和身份切换采用抽屉</t>
  </si>
  <si>
    <t>首屏核心区</t>
  </si>
  <si>
    <t>用户打开首页后立即看懂当前最重要状态</t>
  </si>
  <si>
    <t>所有P0且推荐位置为“首屏”的板块</t>
  </si>
  <si>
    <t>KPI卡、待办列表、风险卡、今日计划</t>
  </si>
  <si>
    <t>控制在4—6个大板块；按角色动态排序</t>
  </si>
  <si>
    <t>支持一键下钻和快捷处理；禁止信息堆积</t>
  </si>
  <si>
    <t>纵向卡片；优先待办、风险和今日任务</t>
  </si>
  <si>
    <t>第二屏运营区</t>
  </si>
  <si>
    <t>承载日常专业管理和高频协同</t>
  </si>
  <si>
    <t>推荐位置为“第二屏”的板块</t>
  </si>
  <si>
    <t>模块卡、趋势图、日历、任务看板</t>
  </si>
  <si>
    <t>按常用频率排序；允许个人收藏</t>
  </si>
  <si>
    <t>保持主单、子单和来源单据可追溯</t>
  </si>
  <si>
    <t>宫格+列表切换，复杂图表简化</t>
  </si>
  <si>
    <t>底部/抽屉区</t>
  </si>
  <si>
    <t>承载低频、敏感或配置型功能</t>
  </si>
  <si>
    <t>推荐位置为“底部/抽屉”的板块</t>
  </si>
  <si>
    <t>折叠面板、更多菜单、受控入口</t>
  </si>
  <si>
    <t>默认折叠；按权限加载</t>
  </si>
  <si>
    <t>敏感查看二次认证；配置操作提示影响范围</t>
  </si>
  <si>
    <t>放入“更多”页面，避免首页过长</t>
  </si>
  <si>
    <t>全局异常层</t>
  </si>
  <si>
    <t>任何页面都能及时看到阻断风险</t>
  </si>
  <si>
    <t>P0告警、部分失败、权限/安全异常</t>
  </si>
  <si>
    <t>横幅、Toast、红点、故障浮层</t>
  </si>
  <si>
    <t>只展示需要当前用户动作的异常</t>
  </si>
  <si>
    <t>已读不等于关闭；必须处理或转交</t>
  </si>
  <si>
    <t>高风险使用固定横幅，普通异常放消息中心</t>
  </si>
  <si>
    <t>板块数量</t>
  </si>
  <si>
    <t>顶部</t>
  </si>
  <si>
    <t>上金谷运营系统·技术端首页板块规划——角色与首页差异</t>
  </si>
  <si>
    <t>典型角色</t>
  </si>
  <si>
    <t>默认首页形态</t>
  </si>
  <si>
    <t>重点首页板块</t>
  </si>
  <si>
    <t>主要可操作动作</t>
  </si>
  <si>
    <t>禁止/限制</t>
  </si>
  <si>
    <t>身份切换与特殊控制</t>
  </si>
  <si>
    <t>平台运维管理员</t>
  </si>
  <si>
    <t>运行、告警、任务、备份、环境</t>
  </si>
  <si>
    <t>技术资源</t>
  </si>
  <si>
    <t>运维、重试、恢复、切换</t>
  </si>
  <si>
    <t>不默认查看业务敏感明细或审批业务</t>
  </si>
  <si>
    <t>MFA+高风险操作审计</t>
  </si>
  <si>
    <t>安全管理员</t>
  </si>
  <si>
    <t>安全与访问治理</t>
  </si>
  <si>
    <t>认证、权限、安全事件、审计、密钥</t>
  </si>
  <si>
    <t>安全域</t>
  </si>
  <si>
    <t>冻结、回收、审查、轮换</t>
  </si>
  <si>
    <t>不得代替业务审批；审计不可修改</t>
  </si>
  <si>
    <t>按次授权</t>
  </si>
  <si>
    <t>系统维护工程师</t>
  </si>
  <si>
    <t>服务健康与工单</t>
  </si>
  <si>
    <t>工作流、消息、集成、技术工单</t>
  </si>
  <si>
    <t>授权服务</t>
  </si>
  <si>
    <t>修复、重试、人工接管</t>
  </si>
  <si>
    <t>不得伪造业务完成或修改业务决定</t>
  </si>
  <si>
    <t>值班/服务范围</t>
  </si>
  <si>
    <t>研发工程师</t>
  </si>
  <si>
    <t>发布与开发者控制台</t>
  </si>
  <si>
    <t>代码、CI/CD、API、事件、测试</t>
  </si>
  <si>
    <t>开发/测试；生产受限</t>
  </si>
  <si>
    <t>构建、测试、发布申请、问题定位</t>
  </si>
  <si>
    <t>生产数据和高风险操作最小权限</t>
  </si>
  <si>
    <t>生产变更审批</t>
  </si>
  <si>
    <t>数据库/数据治理管理员</t>
  </si>
  <si>
    <t>数据库与数据质量</t>
  </si>
  <si>
    <t>数据库、迁移、约束、修复工单</t>
  </si>
  <si>
    <t>数据库技术域</t>
  </si>
  <si>
    <t>诊断、受控修复、验证</t>
  </si>
  <si>
    <t>禁止无审计手工改表；修复双人复核</t>
  </si>
  <si>
    <t>Break-glass受控</t>
  </si>
  <si>
    <t>集成管理员</t>
  </si>
  <si>
    <t>API与集成首页</t>
  </si>
  <si>
    <t>外部接口、同步、回调、对账</t>
  </si>
  <si>
    <t>集成域</t>
  </si>
  <si>
    <t>重试、暂停、补偿、对账</t>
  </si>
  <si>
    <t>不得把接口回执当业务审批结论</t>
  </si>
  <si>
    <t>载荷脱敏</t>
  </si>
  <si>
    <t>审计只读人员</t>
  </si>
  <si>
    <t>安全审计首页</t>
  </si>
  <si>
    <t>访问、变更、发布、修复、补偿记录</t>
  </si>
  <si>
    <t>审计只读</t>
  </si>
  <si>
    <t>查询、导出经授权审计报告</t>
  </si>
  <si>
    <t>不得删除或修改审计日志</t>
  </si>
  <si>
    <t>水印/用途留痕</t>
  </si>
  <si>
    <t>平台超级管理员</t>
  </si>
  <si>
    <t>受控平台首页</t>
  </si>
  <si>
    <t>租户、环境、紧急恢复</t>
  </si>
  <si>
    <t>极小范围临时授权</t>
  </si>
  <si>
    <t>应急配置和恢复</t>
  </si>
  <si>
    <t>不自动拥有业务审批、财务、人事决定权</t>
  </si>
  <si>
    <t>双人审批+短时授权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</si>
</sst>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b/>
      <sz val="16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1F2937"/>
      <name val="Microsoft YaHei"/>
      <charset val="134"/>
    </font>
    <font>
      <b/>
      <sz val="11"/>
      <color rgb="FFFFFFFF"/>
      <name val="Microsoft YaHei"/>
      <charset val="134"/>
    </font>
    <font>
      <sz val="14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0" fontId="4" fillId="2" borderId="0" xfId="49" applyNumberFormat="1" applyFont="1" applyFill="1" applyAlignment="1">
      <alignment horizontal="center" vertical="center" wrapText="1"/>
    </xf>
    <xf numFmtId="0" fontId="5" fillId="4" borderId="0" xfId="49" applyNumberFormat="1" applyFont="1" applyFill="1" applyBorder="1" applyAlignment="1">
      <alignment horizontal="left" vertical="center" wrapText="1"/>
    </xf>
    <xf numFmtId="0" fontId="5" fillId="4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 wrapText="1"/>
    </xf>
    <xf numFmtId="0" fontId="6" fillId="5" borderId="0" xfId="49" applyNumberFormat="1" applyFont="1" applyFill="1" applyBorder="1" applyAlignment="1">
      <alignment vertical="center" wrapText="1"/>
    </xf>
    <xf numFmtId="0" fontId="6" fillId="5" borderId="0" xfId="49" applyNumberFormat="1" applyFont="1" applyFill="1" applyBorder="1" applyAlignment="1">
      <alignment horizontal="center" vertical="center" wrapText="1"/>
    </xf>
    <xf numFmtId="0" fontId="7" fillId="3" borderId="0" xfId="49" applyNumberFormat="1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4"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name val="Microsoft YaHei"/>
        <scheme val="none"/>
        <sz val="14"/>
      </font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ill>
        <patternFill patternType="none"/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8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/>
        <vertical/>
        <horizontal/>
      </border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n">
          <color theme="1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ck">
          <color theme="1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简约边框浅色系标题行镶边行表格样式_0e9939" count="10" xr9:uid="{ACC155BD-E74E-4E48-828D-F18071F355DA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secondRowStripe" dxfId="29"/>
      <tableStyleElement type="firstColumnStripe" dxfId="28"/>
      <tableStyleElement type="secondColumnStripe" dxfId="27"/>
      <tableStyleElement type="firstTotalCell" dxfId="26"/>
      <tableStyleElement type="lastTotalCell" dxfId="25"/>
    </tableStyle>
    <tableStyle name="三线式标题行镶边行表格样式_e51b30" count="9" xr9:uid="{9FD1D357-8053-4BD0-A61D-BB856E13922D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firstHeaderCell" dxfId="36"/>
      <tableStyleElement type="lastHeaderCell" dxfId="35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首页板块位置分布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"板块数量"</c:f>
              <c:strCache>
                <c:ptCount val="1"/>
                <c:pt idx="0">
                  <c:v>板块数量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首页布局建议!$A$12:$A$15</c:f>
              <c:strCache>
                <c:ptCount val="4"/>
                <c:pt idx="0">
                  <c:v>顶部</c:v>
                </c:pt>
                <c:pt idx="1">
                  <c:v>首屏</c:v>
                </c:pt>
                <c:pt idx="2">
                  <c:v>第二屏</c:v>
                </c:pt>
                <c:pt idx="3">
                  <c:v>底部/抽屉</c:v>
                </c:pt>
              </c:strCache>
            </c:strRef>
          </c:cat>
          <c:val>
            <c:numRef>
              <c:f>首页布局建议!$B$12:$B$15</c:f>
              <c:numCache>
                <c:formatCode>General</c:formatCode>
                <c:ptCount val="4"/>
                <c:pt idx="0">
                  <c:v>0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41bce6b-55ad-4048-b2ab-0af8f617366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10</xdr:row>
      <xdr:rowOff>0</xdr:rowOff>
    </xdr:from>
    <xdr:to>
      <xdr:col>10</xdr:col>
      <xdr:colOff>0</xdr:colOff>
      <xdr:row>26</xdr:row>
      <xdr:rowOff>0</xdr:rowOff>
    </xdr:to>
    <xdr:graphicFrame>
      <xdr:nvGraphicFramePr>
        <xdr:cNvPr id="2" name="Chart"/>
        <xdr:cNvGraphicFramePr/>
      </xdr:nvGraphicFramePr>
      <xdr:xfrm>
        <a:off x="5715000" y="2400300"/>
        <a:ext cx="113538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echModuleTable" displayName="TechModuleTable" ref="A6:N21">
  <tableColumns count="14">
    <tableColumn id="1" name="序号" dataDxfId="0"/>
    <tableColumn id="2" name="一级首页板块" dataDxfId="1"/>
    <tableColumn id="3" name="板块定位" dataDxfId="2"/>
    <tableColumn id="4" name="核心子入口" dataDxfId="3"/>
    <tableColumn id="5" name="首页展示组件" dataDxfId="4"/>
    <tableColumn id="6" name="关键指标/提醒" dataDxfId="5"/>
    <tableColumn id="7" name="主要快捷操作" dataDxfId="6"/>
    <tableColumn id="8" name="对应业务流程" dataDxfId="7"/>
    <tableColumn id="9" name="默认数据范围" dataDxfId="8"/>
    <tableColumn id="10" name="优先级" dataDxfId="9"/>
    <tableColumn id="11" name="推荐位置" dataDxfId="10"/>
    <tableColumn id="12" name="刷新频率" dataDxfId="11"/>
    <tableColumn id="13" name="权限与安全边界" dataDxfId="12"/>
    <tableColumn id="14" name="来源依据" dataDxfId="13"/>
  </tableColumns>
  <tableStyleInfo name="三线式标题行镶边行表格样式_e51b30" showFirstColumn="0" showLastColumn="0" showRowStripes="1" showColumnStripes="0"/>
</table>
</file>

<file path=xl/tables/table2.xml><?xml version="1.0" encoding="utf-8"?>
<table xmlns="http://schemas.openxmlformats.org/spreadsheetml/2006/main" id="2" name="TechLayoutTable" displayName="TechLayoutTable" ref="A3:G8">
  <tableColumns count="7">
    <tableColumn id="1" name="首页区域"/>
    <tableColumn id="2" name="设计目的"/>
    <tableColumn id="3" name="推荐展示板块"/>
    <tableColumn id="4" name="组件形式"/>
    <tableColumn id="5" name="展示规则"/>
    <tableColumn id="6" name="交互原则"/>
    <tableColumn id="7" name="移动端策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chRoleTable" displayName="TechRoleTable" ref="A3:G11">
  <tableColumns count="7">
    <tableColumn id="1" name="典型角色"/>
    <tableColumn id="2" name="默认首页形态"/>
    <tableColumn id="3" name="重点首页板块"/>
    <tableColumn id="4" name="默认数据范围"/>
    <tableColumn id="5" name="主要可操作动作"/>
    <tableColumn id="6" name="禁止/限制"/>
    <tableColumn id="7" name="身份切换与特殊控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zoomScale="130" zoomScaleNormal="130" topLeftCell="A2" workbookViewId="0">
      <selection activeCell="D9" sqref="D9"/>
    </sheetView>
  </sheetViews>
  <sheetFormatPr defaultColWidth="9" defaultRowHeight="14.25"/>
  <cols>
    <col min="1" max="1" width="11.675" customWidth="1"/>
    <col min="2" max="2" width="27.0083333333333" customWidth="1"/>
    <col min="3" max="4" width="50.625" customWidth="1"/>
    <col min="5" max="5" width="48.675" customWidth="1"/>
    <col min="6" max="6" width="50.625" customWidth="1"/>
    <col min="7" max="7" width="50.3416666666667" customWidth="1"/>
    <col min="8" max="8" width="48.675" customWidth="1"/>
    <col min="9" max="9" width="35.0083333333333" customWidth="1"/>
    <col min="10" max="10" width="11.675" customWidth="1"/>
    <col min="11" max="11" width="12.3416666666667" customWidth="1"/>
    <col min="12" max="12" width="16.3416666666667" customWidth="1"/>
    <col min="13" max="13" width="50.625" customWidth="1"/>
    <col min="14" max="14" width="48.8416666666667" customWidth="1"/>
  </cols>
  <sheetData>
    <row r="1" ht="28.5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2.5" customHeight="1" spans="1:14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22.5" customHeight="1" spans="1:1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22.5" customHeight="1" spans="1:14">
      <c r="A4" s="10" t="s">
        <v>2</v>
      </c>
      <c r="B4" s="10">
        <f>COUNTA(B7:B21)</f>
        <v>15</v>
      </c>
      <c r="C4" s="10"/>
      <c r="D4" s="10" t="s">
        <v>3</v>
      </c>
      <c r="E4" s="10">
        <f>COUNTIF(J7:J21,"P0")</f>
        <v>11</v>
      </c>
      <c r="F4" s="10"/>
      <c r="G4" s="10" t="s">
        <v>4</v>
      </c>
      <c r="H4" s="10">
        <f>COUNTIF(K7:K21,"首屏")</f>
        <v>9</v>
      </c>
      <c r="I4" s="10"/>
      <c r="J4" s="10" t="s">
        <v>5</v>
      </c>
      <c r="K4" s="10" t="s">
        <v>6</v>
      </c>
      <c r="L4" s="11"/>
      <c r="M4" s="11"/>
      <c r="N4" s="11"/>
    </row>
    <row r="5" ht="22.5" customHeight="1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22.5" customHeight="1" spans="1:14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  <c r="I6" s="12" t="s">
        <v>15</v>
      </c>
      <c r="J6" s="12" t="s">
        <v>16</v>
      </c>
      <c r="K6" s="12" t="s">
        <v>17</v>
      </c>
      <c r="L6" s="12" t="s">
        <v>18</v>
      </c>
      <c r="M6" s="12" t="s">
        <v>19</v>
      </c>
      <c r="N6" s="12" t="s">
        <v>20</v>
      </c>
    </row>
    <row r="7" ht="39" customHeight="1" spans="1:14">
      <c r="A7" s="13">
        <v>1</v>
      </c>
      <c r="B7" s="13" t="s">
        <v>21</v>
      </c>
      <c r="C7" s="14" t="s">
        <v>22</v>
      </c>
      <c r="D7" s="14" t="s">
        <v>23</v>
      </c>
      <c r="E7" s="13" t="s">
        <v>24</v>
      </c>
      <c r="F7" s="13" t="s">
        <v>25</v>
      </c>
      <c r="G7" s="13" t="s">
        <v>26</v>
      </c>
      <c r="H7" s="13" t="s">
        <v>27</v>
      </c>
      <c r="I7" s="13" t="s">
        <v>28</v>
      </c>
      <c r="J7" s="13" t="s">
        <v>29</v>
      </c>
      <c r="K7" s="13" t="s">
        <v>30</v>
      </c>
      <c r="L7" s="13" t="s">
        <v>31</v>
      </c>
      <c r="M7" s="14" t="s">
        <v>32</v>
      </c>
      <c r="N7" s="13" t="s">
        <v>33</v>
      </c>
    </row>
    <row r="8" ht="39" customHeight="1" spans="1:14">
      <c r="A8" s="13">
        <v>2</v>
      </c>
      <c r="B8" s="13" t="s">
        <v>34</v>
      </c>
      <c r="C8" s="14" t="s">
        <v>35</v>
      </c>
      <c r="D8" s="14" t="s">
        <v>36</v>
      </c>
      <c r="E8" s="13" t="s">
        <v>37</v>
      </c>
      <c r="F8" s="13" t="s">
        <v>38</v>
      </c>
      <c r="G8" s="13" t="s">
        <v>39</v>
      </c>
      <c r="H8" s="13" t="s">
        <v>40</v>
      </c>
      <c r="I8" s="13" t="s">
        <v>41</v>
      </c>
      <c r="J8" s="13" t="s">
        <v>29</v>
      </c>
      <c r="K8" s="13" t="s">
        <v>30</v>
      </c>
      <c r="L8" s="13" t="s">
        <v>42</v>
      </c>
      <c r="M8" s="14" t="s">
        <v>43</v>
      </c>
      <c r="N8" s="13" t="s">
        <v>44</v>
      </c>
    </row>
    <row r="9" ht="39" customHeight="1" spans="1:14">
      <c r="A9" s="13">
        <v>3</v>
      </c>
      <c r="B9" s="13" t="s">
        <v>45</v>
      </c>
      <c r="C9" s="14" t="s">
        <v>46</v>
      </c>
      <c r="D9" s="14" t="s">
        <v>47</v>
      </c>
      <c r="E9" s="13" t="s">
        <v>48</v>
      </c>
      <c r="F9" s="13" t="s">
        <v>49</v>
      </c>
      <c r="G9" s="13" t="s">
        <v>50</v>
      </c>
      <c r="H9" s="13" t="s">
        <v>51</v>
      </c>
      <c r="I9" s="13" t="s">
        <v>52</v>
      </c>
      <c r="J9" s="13" t="s">
        <v>29</v>
      </c>
      <c r="K9" s="13" t="s">
        <v>30</v>
      </c>
      <c r="L9" s="13" t="s">
        <v>42</v>
      </c>
      <c r="M9" s="14" t="s">
        <v>53</v>
      </c>
      <c r="N9" s="13" t="s">
        <v>54</v>
      </c>
    </row>
    <row r="10" ht="39" customHeight="1" spans="1:14">
      <c r="A10" s="13">
        <v>4</v>
      </c>
      <c r="B10" s="13" t="s">
        <v>55</v>
      </c>
      <c r="C10" s="14" t="s">
        <v>56</v>
      </c>
      <c r="D10" s="14" t="s">
        <v>57</v>
      </c>
      <c r="E10" s="13" t="s">
        <v>58</v>
      </c>
      <c r="F10" s="13" t="s">
        <v>59</v>
      </c>
      <c r="G10" s="13" t="s">
        <v>60</v>
      </c>
      <c r="H10" s="13" t="s">
        <v>61</v>
      </c>
      <c r="I10" s="13" t="s">
        <v>62</v>
      </c>
      <c r="J10" s="13" t="s">
        <v>29</v>
      </c>
      <c r="K10" s="13" t="s">
        <v>30</v>
      </c>
      <c r="L10" s="13" t="s">
        <v>63</v>
      </c>
      <c r="M10" s="14" t="s">
        <v>64</v>
      </c>
      <c r="N10" s="13" t="s">
        <v>65</v>
      </c>
    </row>
    <row r="11" ht="39" customHeight="1" spans="1:14">
      <c r="A11" s="13">
        <v>5</v>
      </c>
      <c r="B11" s="13" t="s">
        <v>66</v>
      </c>
      <c r="C11" s="14" t="s">
        <v>67</v>
      </c>
      <c r="D11" s="14" t="s">
        <v>68</v>
      </c>
      <c r="E11" s="13" t="s">
        <v>69</v>
      </c>
      <c r="F11" s="13" t="s">
        <v>70</v>
      </c>
      <c r="G11" s="13" t="s">
        <v>71</v>
      </c>
      <c r="H11" s="13" t="s">
        <v>72</v>
      </c>
      <c r="I11" s="13" t="s">
        <v>73</v>
      </c>
      <c r="J11" s="13" t="s">
        <v>29</v>
      </c>
      <c r="K11" s="13" t="s">
        <v>30</v>
      </c>
      <c r="L11" s="13" t="s">
        <v>74</v>
      </c>
      <c r="M11" s="14" t="s">
        <v>75</v>
      </c>
      <c r="N11" s="13" t="s">
        <v>76</v>
      </c>
    </row>
    <row r="12" ht="39" customHeight="1" spans="1:14">
      <c r="A12" s="13">
        <v>6</v>
      </c>
      <c r="B12" s="13" t="s">
        <v>77</v>
      </c>
      <c r="C12" s="14" t="s">
        <v>78</v>
      </c>
      <c r="D12" s="14" t="s">
        <v>79</v>
      </c>
      <c r="E12" s="13" t="s">
        <v>80</v>
      </c>
      <c r="F12" s="13" t="s">
        <v>81</v>
      </c>
      <c r="G12" s="13" t="s">
        <v>82</v>
      </c>
      <c r="H12" s="13" t="s">
        <v>83</v>
      </c>
      <c r="I12" s="13" t="s">
        <v>84</v>
      </c>
      <c r="J12" s="13" t="s">
        <v>85</v>
      </c>
      <c r="K12" s="13" t="s">
        <v>86</v>
      </c>
      <c r="L12" s="13" t="s">
        <v>87</v>
      </c>
      <c r="M12" s="14" t="s">
        <v>88</v>
      </c>
      <c r="N12" s="13" t="s">
        <v>89</v>
      </c>
    </row>
    <row r="13" ht="39" customHeight="1" spans="1:14">
      <c r="A13" s="13">
        <v>7</v>
      </c>
      <c r="B13" s="13" t="s">
        <v>90</v>
      </c>
      <c r="C13" s="14" t="s">
        <v>91</v>
      </c>
      <c r="D13" s="14" t="s">
        <v>92</v>
      </c>
      <c r="E13" s="13" t="s">
        <v>93</v>
      </c>
      <c r="F13" s="13" t="s">
        <v>94</v>
      </c>
      <c r="G13" s="13" t="s">
        <v>95</v>
      </c>
      <c r="H13" s="13" t="s">
        <v>96</v>
      </c>
      <c r="I13" s="13" t="s">
        <v>97</v>
      </c>
      <c r="J13" s="13" t="s">
        <v>29</v>
      </c>
      <c r="K13" s="13" t="s">
        <v>30</v>
      </c>
      <c r="L13" s="13" t="s">
        <v>74</v>
      </c>
      <c r="M13" s="14" t="s">
        <v>98</v>
      </c>
      <c r="N13" s="13" t="s">
        <v>99</v>
      </c>
    </row>
    <row r="14" ht="39" customHeight="1" spans="1:14">
      <c r="A14" s="13">
        <v>8</v>
      </c>
      <c r="B14" s="13" t="s">
        <v>100</v>
      </c>
      <c r="C14" s="14" t="s">
        <v>101</v>
      </c>
      <c r="D14" s="14" t="s">
        <v>102</v>
      </c>
      <c r="E14" s="13" t="s">
        <v>103</v>
      </c>
      <c r="F14" s="13" t="s">
        <v>104</v>
      </c>
      <c r="G14" s="13" t="s">
        <v>105</v>
      </c>
      <c r="H14" s="13" t="s">
        <v>106</v>
      </c>
      <c r="I14" s="13" t="s">
        <v>107</v>
      </c>
      <c r="J14" s="13" t="s">
        <v>29</v>
      </c>
      <c r="K14" s="13" t="s">
        <v>86</v>
      </c>
      <c r="L14" s="13" t="s">
        <v>108</v>
      </c>
      <c r="M14" s="14" t="s">
        <v>109</v>
      </c>
      <c r="N14" s="13" t="s">
        <v>110</v>
      </c>
    </row>
    <row r="15" ht="39" customHeight="1" spans="1:14">
      <c r="A15" s="13">
        <v>9</v>
      </c>
      <c r="B15" s="13" t="s">
        <v>111</v>
      </c>
      <c r="C15" s="14" t="s">
        <v>112</v>
      </c>
      <c r="D15" s="14" t="s">
        <v>113</v>
      </c>
      <c r="E15" s="13" t="s">
        <v>114</v>
      </c>
      <c r="F15" s="13" t="s">
        <v>115</v>
      </c>
      <c r="G15" s="13" t="s">
        <v>116</v>
      </c>
      <c r="H15" s="13" t="s">
        <v>117</v>
      </c>
      <c r="I15" s="13" t="s">
        <v>118</v>
      </c>
      <c r="J15" s="13" t="s">
        <v>29</v>
      </c>
      <c r="K15" s="13" t="s">
        <v>30</v>
      </c>
      <c r="L15" s="13" t="s">
        <v>119</v>
      </c>
      <c r="M15" s="14" t="s">
        <v>120</v>
      </c>
      <c r="N15" s="13" t="s">
        <v>121</v>
      </c>
    </row>
    <row r="16" ht="39" customHeight="1" spans="1:14">
      <c r="A16" s="13">
        <v>10</v>
      </c>
      <c r="B16" s="13" t="s">
        <v>122</v>
      </c>
      <c r="C16" s="14" t="s">
        <v>123</v>
      </c>
      <c r="D16" s="14" t="s">
        <v>124</v>
      </c>
      <c r="E16" s="13" t="s">
        <v>125</v>
      </c>
      <c r="F16" s="13" t="s">
        <v>126</v>
      </c>
      <c r="G16" s="13" t="s">
        <v>127</v>
      </c>
      <c r="H16" s="13" t="s">
        <v>128</v>
      </c>
      <c r="I16" s="13" t="s">
        <v>129</v>
      </c>
      <c r="J16" s="13" t="s">
        <v>85</v>
      </c>
      <c r="K16" s="13" t="s">
        <v>86</v>
      </c>
      <c r="L16" s="13" t="s">
        <v>63</v>
      </c>
      <c r="M16" s="14" t="s">
        <v>130</v>
      </c>
      <c r="N16" s="13" t="s">
        <v>131</v>
      </c>
    </row>
    <row r="17" ht="39" customHeight="1" spans="1:14">
      <c r="A17" s="13">
        <v>11</v>
      </c>
      <c r="B17" s="13" t="s">
        <v>132</v>
      </c>
      <c r="C17" s="14" t="s">
        <v>133</v>
      </c>
      <c r="D17" s="14" t="s">
        <v>134</v>
      </c>
      <c r="E17" s="13" t="s">
        <v>135</v>
      </c>
      <c r="F17" s="13" t="s">
        <v>136</v>
      </c>
      <c r="G17" s="13" t="s">
        <v>137</v>
      </c>
      <c r="H17" s="13" t="s">
        <v>138</v>
      </c>
      <c r="I17" s="13" t="s">
        <v>139</v>
      </c>
      <c r="J17" s="13" t="s">
        <v>29</v>
      </c>
      <c r="K17" s="13" t="s">
        <v>30</v>
      </c>
      <c r="L17" s="13" t="s">
        <v>140</v>
      </c>
      <c r="M17" s="14" t="s">
        <v>141</v>
      </c>
      <c r="N17" s="13" t="s">
        <v>142</v>
      </c>
    </row>
    <row r="18" ht="39" customHeight="1" spans="1:14">
      <c r="A18" s="13">
        <v>12</v>
      </c>
      <c r="B18" s="13" t="s">
        <v>143</v>
      </c>
      <c r="C18" s="14" t="s">
        <v>144</v>
      </c>
      <c r="D18" s="14" t="s">
        <v>145</v>
      </c>
      <c r="E18" s="13" t="s">
        <v>146</v>
      </c>
      <c r="F18" s="13" t="s">
        <v>147</v>
      </c>
      <c r="G18" s="13" t="s">
        <v>148</v>
      </c>
      <c r="H18" s="13" t="s">
        <v>149</v>
      </c>
      <c r="I18" s="13" t="s">
        <v>150</v>
      </c>
      <c r="J18" s="13" t="s">
        <v>29</v>
      </c>
      <c r="K18" s="13" t="s">
        <v>30</v>
      </c>
      <c r="L18" s="13" t="s">
        <v>151</v>
      </c>
      <c r="M18" s="14" t="s">
        <v>152</v>
      </c>
      <c r="N18" s="13" t="s">
        <v>153</v>
      </c>
    </row>
    <row r="19" ht="39" customHeight="1" spans="1:14">
      <c r="A19" s="13">
        <v>13</v>
      </c>
      <c r="B19" s="13" t="s">
        <v>154</v>
      </c>
      <c r="C19" s="14" t="s">
        <v>155</v>
      </c>
      <c r="D19" s="14" t="s">
        <v>156</v>
      </c>
      <c r="E19" s="13" t="s">
        <v>157</v>
      </c>
      <c r="F19" s="13" t="s">
        <v>158</v>
      </c>
      <c r="G19" s="13" t="s">
        <v>159</v>
      </c>
      <c r="H19" s="13" t="s">
        <v>160</v>
      </c>
      <c r="I19" s="13" t="s">
        <v>161</v>
      </c>
      <c r="J19" s="13" t="s">
        <v>29</v>
      </c>
      <c r="K19" s="13" t="s">
        <v>86</v>
      </c>
      <c r="L19" s="13" t="s">
        <v>162</v>
      </c>
      <c r="M19" s="14" t="s">
        <v>163</v>
      </c>
      <c r="N19" s="13" t="s">
        <v>164</v>
      </c>
    </row>
    <row r="20" ht="39" customHeight="1" spans="1:14">
      <c r="A20" s="13">
        <v>14</v>
      </c>
      <c r="B20" s="13" t="s">
        <v>165</v>
      </c>
      <c r="C20" s="14" t="s">
        <v>166</v>
      </c>
      <c r="D20" s="14" t="s">
        <v>167</v>
      </c>
      <c r="E20" s="13" t="s">
        <v>168</v>
      </c>
      <c r="F20" s="13" t="s">
        <v>169</v>
      </c>
      <c r="G20" s="13" t="s">
        <v>170</v>
      </c>
      <c r="H20" s="13" t="s">
        <v>171</v>
      </c>
      <c r="I20" s="13" t="s">
        <v>172</v>
      </c>
      <c r="J20" s="13" t="s">
        <v>85</v>
      </c>
      <c r="K20" s="13" t="s">
        <v>173</v>
      </c>
      <c r="L20" s="13" t="s">
        <v>87</v>
      </c>
      <c r="M20" s="14" t="s">
        <v>174</v>
      </c>
      <c r="N20" s="13" t="s">
        <v>175</v>
      </c>
    </row>
    <row r="21" ht="39" customHeight="1" spans="1:14">
      <c r="A21" s="13">
        <v>15</v>
      </c>
      <c r="B21" s="13" t="s">
        <v>176</v>
      </c>
      <c r="C21" s="14" t="s">
        <v>177</v>
      </c>
      <c r="D21" s="14" t="s">
        <v>178</v>
      </c>
      <c r="E21" s="13" t="s">
        <v>179</v>
      </c>
      <c r="F21" s="13" t="s">
        <v>180</v>
      </c>
      <c r="G21" s="13" t="s">
        <v>181</v>
      </c>
      <c r="H21" s="13" t="s">
        <v>182</v>
      </c>
      <c r="I21" s="13" t="s">
        <v>183</v>
      </c>
      <c r="J21" s="13" t="s">
        <v>85</v>
      </c>
      <c r="K21" s="13" t="s">
        <v>86</v>
      </c>
      <c r="L21" s="13" t="s">
        <v>74</v>
      </c>
      <c r="M21" s="14" t="s">
        <v>184</v>
      </c>
      <c r="N21" s="13" t="s">
        <v>185</v>
      </c>
    </row>
  </sheetData>
  <mergeCells count="3">
    <mergeCell ref="A1:N1"/>
    <mergeCell ref="A2:N2"/>
    <mergeCell ref="K4:N4"/>
  </mergeCells>
  <conditionalFormatting sqref="J7:J21">
    <cfRule type="expression" dxfId="14" priority="1">
      <formula>J7="P0"</formula>
    </cfRule>
    <cfRule type="expression" dxfId="15" priority="2">
      <formula>J7="P1"</formula>
    </cfRule>
  </conditionalFormatting>
  <conditionalFormatting sqref="K7:K21">
    <cfRule type="expression" dxfId="16" priority="3">
      <formula>K7="首屏"</formula>
    </cfRule>
    <cfRule type="expression" dxfId="17" priority="4">
      <formula>K7="顶部"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"/>
    </sheetView>
  </sheetViews>
  <sheetFormatPr defaultColWidth="9" defaultRowHeight="14.25" outlineLevelCol="6"/>
  <cols>
    <col min="1" max="1" width="15" customWidth="1"/>
    <col min="2" max="2" width="28" customWidth="1"/>
    <col min="3" max="3" width="32" customWidth="1"/>
    <col min="4" max="4" width="28" customWidth="1"/>
    <col min="5" max="5" width="30" customWidth="1"/>
    <col min="6" max="6" width="34" customWidth="1"/>
    <col min="7" max="7" width="30" customWidth="1"/>
  </cols>
  <sheetData>
    <row r="1" ht="30" customHeight="1" spans="1:7">
      <c r="A1" s="1" t="s">
        <v>186</v>
      </c>
      <c r="B1" s="1"/>
      <c r="C1" s="1"/>
      <c r="D1" s="1"/>
      <c r="E1" s="1"/>
      <c r="F1" s="1"/>
      <c r="G1" s="1"/>
    </row>
    <row r="3" spans="1:7">
      <c r="A3" s="2" t="s">
        <v>187</v>
      </c>
      <c r="B3" s="2" t="s">
        <v>188</v>
      </c>
      <c r="C3" s="2" t="s">
        <v>189</v>
      </c>
      <c r="D3" s="2" t="s">
        <v>190</v>
      </c>
      <c r="E3" s="2" t="s">
        <v>191</v>
      </c>
      <c r="F3" s="2" t="s">
        <v>192</v>
      </c>
      <c r="G3" s="2" t="s">
        <v>193</v>
      </c>
    </row>
    <row r="4" ht="24" customHeight="1" spans="1:7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</row>
    <row r="5" ht="24" customHeight="1" spans="1:7">
      <c r="A5" s="3" t="s">
        <v>201</v>
      </c>
      <c r="B5" s="3" t="s">
        <v>202</v>
      </c>
      <c r="C5" s="3" t="s">
        <v>203</v>
      </c>
      <c r="D5" s="3" t="s">
        <v>204</v>
      </c>
      <c r="E5" s="3" t="s">
        <v>205</v>
      </c>
      <c r="F5" s="3" t="s">
        <v>206</v>
      </c>
      <c r="G5" s="3" t="s">
        <v>207</v>
      </c>
    </row>
    <row r="6" ht="15" customHeight="1" spans="1:7">
      <c r="A6" s="3" t="s">
        <v>208</v>
      </c>
      <c r="B6" s="3" t="s">
        <v>209</v>
      </c>
      <c r="C6" s="3" t="s">
        <v>210</v>
      </c>
      <c r="D6" s="3" t="s">
        <v>211</v>
      </c>
      <c r="E6" s="3" t="s">
        <v>212</v>
      </c>
      <c r="F6" s="3" t="s">
        <v>213</v>
      </c>
      <c r="G6" s="3" t="s">
        <v>214</v>
      </c>
    </row>
    <row r="7" ht="15" customHeight="1" spans="1:7">
      <c r="A7" s="3" t="s">
        <v>215</v>
      </c>
      <c r="B7" s="3" t="s">
        <v>216</v>
      </c>
      <c r="C7" s="3" t="s">
        <v>217</v>
      </c>
      <c r="D7" s="3" t="s">
        <v>218</v>
      </c>
      <c r="E7" s="3" t="s">
        <v>219</v>
      </c>
      <c r="F7" s="3" t="s">
        <v>220</v>
      </c>
      <c r="G7" s="3" t="s">
        <v>221</v>
      </c>
    </row>
    <row r="8" ht="24" customHeight="1" spans="1:7">
      <c r="A8" s="3" t="s">
        <v>222</v>
      </c>
      <c r="B8" s="3" t="s">
        <v>223</v>
      </c>
      <c r="C8" s="3" t="s">
        <v>224</v>
      </c>
      <c r="D8" s="3" t="s">
        <v>225</v>
      </c>
      <c r="E8" s="3" t="s">
        <v>226</v>
      </c>
      <c r="F8" s="3" t="s">
        <v>227</v>
      </c>
      <c r="G8" s="3" t="s">
        <v>228</v>
      </c>
    </row>
    <row r="11" ht="15" spans="1:7">
      <c r="A11" s="4" t="s">
        <v>17</v>
      </c>
      <c r="B11" s="4" t="s">
        <v>229</v>
      </c>
    </row>
    <row r="12" spans="1:7">
      <c r="A12" s="5" t="s">
        <v>230</v>
      </c>
      <c r="B12" s="5">
        <f>COUNTIF(首页板块清单!$K$7:$K$21,A12)</f>
        <v>0</v>
      </c>
    </row>
    <row r="13" spans="1:7">
      <c r="A13" s="5" t="s">
        <v>30</v>
      </c>
      <c r="B13" s="5">
        <f>COUNTIF(首页板块清单!$K$7:$K$21,A13)</f>
        <v>9</v>
      </c>
    </row>
    <row r="14" spans="1:7">
      <c r="A14" s="5" t="s">
        <v>86</v>
      </c>
      <c r="B14" s="5">
        <f>COUNTIF(首页板块清单!$K$7:$K$21,A14)</f>
        <v>5</v>
      </c>
    </row>
    <row r="15" spans="1:7">
      <c r="A15" s="5" t="s">
        <v>173</v>
      </c>
      <c r="B15" s="5">
        <f>COUNTIF(首页板块清单!$K$7:$K$21,A15)</f>
        <v>1</v>
      </c>
    </row>
  </sheetData>
  <mergeCells count="1">
    <mergeCell ref="A1:G1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"/>
    </sheetView>
  </sheetViews>
  <sheetFormatPr defaultColWidth="9" defaultRowHeight="14.25" outlineLevelCol="6"/>
  <cols>
    <col min="1" max="1" width="20" customWidth="1"/>
    <col min="2" max="2" width="26" customWidth="1"/>
    <col min="3" max="3" width="36" customWidth="1"/>
    <col min="4" max="4" width="24" customWidth="1"/>
    <col min="5" max="5" width="34" customWidth="1"/>
    <col min="6" max="6" width="40" customWidth="1"/>
    <col min="7" max="7" width="30" customWidth="1"/>
  </cols>
  <sheetData>
    <row r="1" ht="30" customHeight="1" spans="1:7">
      <c r="A1" s="1" t="s">
        <v>231</v>
      </c>
      <c r="B1" s="1"/>
      <c r="C1" s="1"/>
      <c r="D1" s="1"/>
      <c r="E1" s="1"/>
      <c r="F1" s="1"/>
      <c r="G1" s="1"/>
    </row>
    <row r="3" ht="15" spans="1:7">
      <c r="A3" s="2" t="s">
        <v>232</v>
      </c>
      <c r="B3" s="2" t="s">
        <v>233</v>
      </c>
      <c r="C3" s="2" t="s">
        <v>234</v>
      </c>
      <c r="D3" s="2" t="s">
        <v>15</v>
      </c>
      <c r="E3" s="2" t="s">
        <v>235</v>
      </c>
      <c r="F3" s="2" t="s">
        <v>236</v>
      </c>
      <c r="G3" s="2" t="s">
        <v>237</v>
      </c>
    </row>
    <row r="4" ht="15" customHeight="1" spans="1:7">
      <c r="A4" s="3" t="s">
        <v>238</v>
      </c>
      <c r="B4" s="3" t="s">
        <v>21</v>
      </c>
      <c r="C4" s="3" t="s">
        <v>239</v>
      </c>
      <c r="D4" s="3" t="s">
        <v>240</v>
      </c>
      <c r="E4" s="3" t="s">
        <v>241</v>
      </c>
      <c r="F4" s="3" t="s">
        <v>242</v>
      </c>
      <c r="G4" s="3" t="s">
        <v>243</v>
      </c>
    </row>
    <row r="5" ht="15" customHeight="1" spans="1:7">
      <c r="A5" s="3" t="s">
        <v>244</v>
      </c>
      <c r="B5" s="3" t="s">
        <v>245</v>
      </c>
      <c r="C5" s="3" t="s">
        <v>246</v>
      </c>
      <c r="D5" s="3" t="s">
        <v>247</v>
      </c>
      <c r="E5" s="3" t="s">
        <v>248</v>
      </c>
      <c r="F5" s="3" t="s">
        <v>249</v>
      </c>
      <c r="G5" s="3" t="s">
        <v>250</v>
      </c>
    </row>
    <row r="6" ht="15" customHeight="1" spans="1:7">
      <c r="A6" s="3" t="s">
        <v>251</v>
      </c>
      <c r="B6" s="3" t="s">
        <v>252</v>
      </c>
      <c r="C6" s="3" t="s">
        <v>253</v>
      </c>
      <c r="D6" s="3" t="s">
        <v>254</v>
      </c>
      <c r="E6" s="3" t="s">
        <v>255</v>
      </c>
      <c r="F6" s="3" t="s">
        <v>256</v>
      </c>
      <c r="G6" s="3" t="s">
        <v>257</v>
      </c>
    </row>
    <row r="7" ht="15" customHeight="1" spans="1:7">
      <c r="A7" s="3" t="s">
        <v>258</v>
      </c>
      <c r="B7" s="3" t="s">
        <v>259</v>
      </c>
      <c r="C7" s="3" t="s">
        <v>260</v>
      </c>
      <c r="D7" s="3" t="s">
        <v>261</v>
      </c>
      <c r="E7" s="3" t="s">
        <v>262</v>
      </c>
      <c r="F7" s="3" t="s">
        <v>263</v>
      </c>
      <c r="G7" s="3" t="s">
        <v>264</v>
      </c>
    </row>
    <row r="8" ht="15" customHeight="1" spans="1:7">
      <c r="A8" s="3" t="s">
        <v>265</v>
      </c>
      <c r="B8" s="3" t="s">
        <v>266</v>
      </c>
      <c r="C8" s="3" t="s">
        <v>267</v>
      </c>
      <c r="D8" s="3" t="s">
        <v>268</v>
      </c>
      <c r="E8" s="3" t="s">
        <v>269</v>
      </c>
      <c r="F8" s="3" t="s">
        <v>270</v>
      </c>
      <c r="G8" s="3" t="s">
        <v>271</v>
      </c>
    </row>
    <row r="9" ht="15" customHeight="1" spans="1:7">
      <c r="A9" s="3" t="s">
        <v>272</v>
      </c>
      <c r="B9" s="3" t="s">
        <v>273</v>
      </c>
      <c r="C9" s="3" t="s">
        <v>274</v>
      </c>
      <c r="D9" s="3" t="s">
        <v>275</v>
      </c>
      <c r="E9" s="3" t="s">
        <v>276</v>
      </c>
      <c r="F9" s="3" t="s">
        <v>277</v>
      </c>
      <c r="G9" s="3" t="s">
        <v>278</v>
      </c>
    </row>
    <row r="10" ht="15" customHeight="1" spans="1:7">
      <c r="A10" s="3" t="s">
        <v>279</v>
      </c>
      <c r="B10" s="3" t="s">
        <v>280</v>
      </c>
      <c r="C10" s="3" t="s">
        <v>281</v>
      </c>
      <c r="D10" s="3" t="s">
        <v>282</v>
      </c>
      <c r="E10" s="3" t="s">
        <v>283</v>
      </c>
      <c r="F10" s="3" t="s">
        <v>284</v>
      </c>
      <c r="G10" s="3" t="s">
        <v>285</v>
      </c>
    </row>
    <row r="11" ht="15" customHeight="1" spans="1:7">
      <c r="A11" s="3" t="s">
        <v>286</v>
      </c>
      <c r="B11" s="3" t="s">
        <v>287</v>
      </c>
      <c r="C11" s="3" t="s">
        <v>288</v>
      </c>
      <c r="D11" s="3" t="s">
        <v>289</v>
      </c>
      <c r="E11" s="3" t="s">
        <v>290</v>
      </c>
      <c r="F11" s="3" t="s">
        <v>291</v>
      </c>
      <c r="G11" s="3" t="s">
        <v>292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首页板块清单</vt:lpstr>
      <vt:lpstr>首页布局建议</vt:lpstr>
      <vt:lpstr>角色权限矩阵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2026-08-06T07:22:52Z</dcterms:created>
  <dcterms:modified xsi:type="dcterms:W3CDTF">2026-08-06T07:23:24Z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1E34D7F86D6C4AFCB053A471F5A380BF_12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